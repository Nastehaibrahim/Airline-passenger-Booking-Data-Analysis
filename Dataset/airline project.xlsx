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KCT\Desktop\datascience and machine learning\"/>
    </mc:Choice>
  </mc:AlternateContent>
  <bookViews>
    <workbookView minimized="1" xWindow="0" yWindow="0" windowWidth="19200" windowHeight="7050" activeTab="5"/>
  </bookViews>
  <sheets>
    <sheet name="Row data" sheetId="2" r:id="rId1"/>
    <sheet name="clean_data" sheetId="1" r:id="rId2"/>
    <sheet name="pivot tables" sheetId="5" r:id="rId3"/>
    <sheet name="analysis" sheetId="4" r:id="rId4"/>
    <sheet name="dashborad" sheetId="12" r:id="rId5"/>
    <sheet name="dashbord2" sheetId="15" r:id="rId6"/>
    <sheet name="finding anad recomandations" sheetId="13" r:id="rId7"/>
  </sheets>
  <definedNames>
    <definedName name="_xlnm._FilterDatabase" localSheetId="0" hidden="1">'Row data'!$A$1:$G$301</definedName>
    <definedName name="Slicer_Booking_Status">#N/A</definedName>
    <definedName name="Slicer_Booking_Status1">#N/A</definedName>
    <definedName name="Slicer_Route">#N/A</definedName>
    <definedName name="Slicer_Route1">#N/A</definedName>
    <definedName name="Slicer_Travel_Class">#N/A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8" i="5" l="1"/>
  <c r="B61" i="5"/>
  <c r="B60" i="5"/>
  <c r="B59" i="5"/>
  <c r="B11" i="4" l="1"/>
  <c r="B10" i="4"/>
  <c r="B8" i="4"/>
  <c r="B7" i="4"/>
  <c r="B6" i="4"/>
  <c r="B5" i="4"/>
  <c r="B4" i="4"/>
  <c r="L117" i="1"/>
  <c r="L137" i="1"/>
  <c r="L178" i="1"/>
  <c r="L31" i="1"/>
  <c r="L16" i="1"/>
  <c r="L80" i="1"/>
  <c r="L237" i="1"/>
  <c r="L34" i="1"/>
  <c r="L77" i="1"/>
  <c r="L243" i="1"/>
  <c r="L172" i="1"/>
  <c r="L245" i="1"/>
  <c r="L42" i="1"/>
  <c r="L162" i="1"/>
  <c r="L199" i="1"/>
  <c r="L204" i="1"/>
  <c r="L72" i="1"/>
  <c r="L140" i="1"/>
  <c r="L218" i="1"/>
  <c r="L67" i="1"/>
  <c r="L39" i="1"/>
  <c r="L78" i="1"/>
  <c r="L73" i="1"/>
  <c r="L284" i="1"/>
  <c r="L246" i="1"/>
  <c r="L99" i="1"/>
  <c r="L210" i="1"/>
  <c r="L24" i="1"/>
  <c r="L200" i="1"/>
  <c r="L6" i="1"/>
  <c r="L30" i="1"/>
  <c r="L196" i="1"/>
  <c r="L53" i="1"/>
  <c r="L275" i="1"/>
  <c r="L27" i="1"/>
  <c r="L234" i="1"/>
  <c r="L253" i="1"/>
  <c r="L213" i="1"/>
  <c r="L130" i="1"/>
  <c r="L186" i="1"/>
  <c r="L116" i="1"/>
  <c r="L35" i="1"/>
  <c r="L7" i="1"/>
  <c r="L141" i="1"/>
  <c r="L274" i="1"/>
  <c r="L208" i="1"/>
  <c r="L280" i="1"/>
  <c r="L281" i="1"/>
  <c r="L235" i="1"/>
  <c r="L2" i="1"/>
  <c r="L219" i="1"/>
  <c r="L231" i="1"/>
  <c r="L181" i="1"/>
  <c r="L146" i="1"/>
  <c r="L127" i="1"/>
  <c r="L45" i="1"/>
  <c r="L132" i="1"/>
  <c r="L154" i="1"/>
  <c r="L183" i="1"/>
  <c r="L63" i="1"/>
  <c r="L268" i="1"/>
  <c r="L226" i="1"/>
  <c r="L247" i="1"/>
  <c r="L66" i="1"/>
  <c r="L84" i="1"/>
  <c r="L14" i="1"/>
  <c r="L202" i="1"/>
  <c r="L229" i="1"/>
  <c r="L165" i="1"/>
  <c r="L47" i="1"/>
  <c r="L205" i="1"/>
  <c r="L43" i="1"/>
  <c r="L158" i="1"/>
  <c r="L248" i="1"/>
  <c r="L267" i="1"/>
  <c r="L254" i="1"/>
  <c r="L4" i="1"/>
  <c r="L61" i="1"/>
  <c r="L112" i="1"/>
  <c r="L44" i="1"/>
  <c r="L291" i="1"/>
  <c r="L257" i="1"/>
  <c r="L192" i="1"/>
  <c r="L55" i="1"/>
  <c r="L179" i="1"/>
  <c r="L60" i="1"/>
  <c r="L133" i="1"/>
  <c r="L108" i="1"/>
  <c r="L28" i="1"/>
  <c r="L57" i="1"/>
  <c r="L111" i="1"/>
  <c r="L86" i="1"/>
  <c r="L163" i="1"/>
  <c r="L144" i="1"/>
  <c r="L49" i="1"/>
  <c r="L225" i="1"/>
  <c r="L152" i="1"/>
  <c r="L288" i="1"/>
  <c r="L211" i="1"/>
  <c r="L98" i="1"/>
  <c r="L238" i="1"/>
  <c r="L131" i="1"/>
  <c r="L153" i="1"/>
  <c r="L191" i="1"/>
  <c r="L5" i="1"/>
  <c r="L244" i="1"/>
  <c r="L174" i="1"/>
  <c r="L263" i="1"/>
  <c r="L160" i="1"/>
  <c r="L156" i="1"/>
  <c r="L149" i="1"/>
  <c r="L222" i="1"/>
  <c r="L223" i="1"/>
  <c r="L240" i="1"/>
  <c r="L259" i="1"/>
  <c r="L71" i="1"/>
  <c r="L109" i="1"/>
  <c r="L22" i="1"/>
  <c r="L76" i="1"/>
  <c r="L189" i="1"/>
  <c r="L255" i="1"/>
  <c r="L123" i="1"/>
  <c r="L261" i="1"/>
  <c r="L217" i="1"/>
  <c r="L70" i="1"/>
  <c r="L3" i="1"/>
  <c r="L122" i="1"/>
  <c r="L170" i="1"/>
  <c r="L176" i="1"/>
  <c r="L194" i="1"/>
  <c r="L19" i="1"/>
  <c r="L185" i="1"/>
  <c r="L37" i="1"/>
  <c r="L21" i="1"/>
  <c r="L197" i="1"/>
  <c r="L74" i="1"/>
  <c r="L276" i="1"/>
  <c r="L88" i="1"/>
  <c r="L103" i="1"/>
  <c r="L251" i="1"/>
  <c r="L142" i="1"/>
  <c r="L293" i="1"/>
  <c r="L110" i="1"/>
  <c r="L166" i="1"/>
  <c r="L201" i="1"/>
  <c r="L264" i="1"/>
  <c r="L292" i="1"/>
  <c r="L206" i="1"/>
  <c r="L161" i="1"/>
  <c r="L177" i="1"/>
  <c r="L187" i="1"/>
  <c r="L184" i="1"/>
  <c r="L32" i="1"/>
  <c r="L62" i="1"/>
  <c r="L168" i="1"/>
  <c r="L214" i="1"/>
  <c r="L273" i="1"/>
  <c r="L129" i="1"/>
  <c r="L65" i="1"/>
  <c r="L262" i="1"/>
  <c r="L29" i="1"/>
  <c r="L236" i="1"/>
  <c r="L13" i="1"/>
  <c r="L164" i="1"/>
  <c r="L209" i="1"/>
  <c r="L128" i="1"/>
  <c r="L266" i="1"/>
  <c r="L282" i="1"/>
  <c r="L81" i="1"/>
  <c r="L85" i="1"/>
  <c r="L10" i="1"/>
  <c r="L120" i="1"/>
  <c r="L287" i="1"/>
  <c r="L38" i="1"/>
  <c r="L20" i="1"/>
  <c r="L113" i="1"/>
  <c r="L101" i="1"/>
  <c r="L190" i="1"/>
  <c r="L159" i="1"/>
  <c r="L119" i="1"/>
  <c r="L41" i="1"/>
  <c r="L93" i="1"/>
  <c r="L277" i="1"/>
  <c r="L87" i="1"/>
  <c r="L147" i="1"/>
  <c r="L143" i="1"/>
  <c r="L250" i="1"/>
  <c r="L230" i="1"/>
  <c r="L46" i="1"/>
  <c r="L252" i="1"/>
  <c r="L151" i="1"/>
  <c r="L139" i="1"/>
  <c r="L91" i="1"/>
  <c r="L90" i="1"/>
  <c r="L138" i="1"/>
  <c r="L224" i="1"/>
  <c r="L279" i="1"/>
  <c r="L51" i="1"/>
  <c r="L12" i="1"/>
  <c r="L97" i="1"/>
  <c r="L23" i="1"/>
  <c r="L249" i="1"/>
  <c r="L134" i="1"/>
  <c r="L8" i="1"/>
  <c r="L233" i="1"/>
  <c r="L182" i="1"/>
  <c r="L220" i="1"/>
  <c r="L115" i="1"/>
  <c r="L227" i="1"/>
  <c r="L83" i="1"/>
  <c r="L33" i="1"/>
  <c r="L269" i="1"/>
  <c r="L26" i="1"/>
  <c r="L212" i="1"/>
  <c r="L216" i="1"/>
  <c r="L102" i="1"/>
  <c r="L92" i="1"/>
  <c r="L285" i="1"/>
  <c r="L59" i="1"/>
  <c r="L50" i="1"/>
  <c r="L150" i="1"/>
  <c r="L145" i="1"/>
  <c r="L155" i="1"/>
  <c r="L283" i="1"/>
  <c r="L107" i="1"/>
  <c r="L58" i="1"/>
  <c r="L265" i="1"/>
  <c r="L15" i="1"/>
  <c r="L271" i="1"/>
  <c r="L48" i="1"/>
  <c r="L167" i="1"/>
  <c r="L75" i="1"/>
  <c r="L17" i="1"/>
  <c r="L79" i="1"/>
  <c r="L64" i="1"/>
  <c r="L68" i="1"/>
  <c r="L232" i="1"/>
  <c r="L25" i="1"/>
  <c r="L207" i="1"/>
  <c r="L114" i="1"/>
  <c r="L94" i="1"/>
  <c r="L195" i="1"/>
  <c r="L118" i="1"/>
  <c r="L52" i="1"/>
  <c r="L188" i="1"/>
  <c r="L175" i="1"/>
  <c r="L124" i="1"/>
  <c r="L260" i="1"/>
  <c r="L278" i="1"/>
  <c r="L104" i="1"/>
  <c r="L125" i="1"/>
  <c r="L258" i="1"/>
  <c r="L169" i="1"/>
  <c r="L270" i="1"/>
  <c r="L242" i="1"/>
  <c r="L171" i="1"/>
  <c r="L56" i="1"/>
  <c r="L9" i="1"/>
  <c r="L239" i="1"/>
  <c r="L290" i="1"/>
  <c r="L203" i="1"/>
  <c r="L135" i="1"/>
  <c r="L105" i="1"/>
  <c r="L272" i="1"/>
  <c r="L148" i="1"/>
  <c r="L40" i="1"/>
  <c r="L106" i="1"/>
  <c r="L11" i="1"/>
  <c r="L289" i="1"/>
  <c r="L96" i="1"/>
  <c r="L100" i="1"/>
  <c r="L241" i="1"/>
  <c r="L82" i="1"/>
  <c r="L89" i="1"/>
  <c r="L157" i="1"/>
  <c r="L286" i="1"/>
  <c r="L18" i="1"/>
  <c r="L36" i="1"/>
  <c r="L126" i="1"/>
  <c r="L136" i="1"/>
  <c r="L228" i="1"/>
  <c r="L221" i="1"/>
  <c r="L193" i="1"/>
  <c r="L173" i="1"/>
  <c r="L215" i="1"/>
  <c r="L95" i="1"/>
  <c r="L256" i="1"/>
  <c r="L121" i="1"/>
  <c r="L180" i="1"/>
  <c r="L69" i="1"/>
  <c r="L198" i="1"/>
  <c r="L54" i="1"/>
  <c r="K117" i="1"/>
  <c r="K137" i="1"/>
  <c r="K178" i="1"/>
  <c r="K31" i="1"/>
  <c r="K16" i="1"/>
  <c r="K80" i="1"/>
  <c r="K237" i="1"/>
  <c r="K34" i="1"/>
  <c r="K77" i="1"/>
  <c r="K243" i="1"/>
  <c r="K172" i="1"/>
  <c r="K245" i="1"/>
  <c r="K42" i="1"/>
  <c r="K162" i="1"/>
  <c r="K199" i="1"/>
  <c r="K204" i="1"/>
  <c r="K72" i="1"/>
  <c r="K140" i="1"/>
  <c r="K218" i="1"/>
  <c r="K67" i="1"/>
  <c r="K39" i="1"/>
  <c r="K78" i="1"/>
  <c r="K73" i="1"/>
  <c r="K284" i="1"/>
  <c r="K246" i="1"/>
  <c r="K99" i="1"/>
  <c r="K210" i="1"/>
  <c r="K24" i="1"/>
  <c r="K200" i="1"/>
  <c r="K6" i="1"/>
  <c r="K30" i="1"/>
  <c r="K196" i="1"/>
  <c r="K53" i="1"/>
  <c r="K275" i="1"/>
  <c r="K27" i="1"/>
  <c r="K234" i="1"/>
  <c r="K253" i="1"/>
  <c r="K213" i="1"/>
  <c r="K130" i="1"/>
  <c r="K186" i="1"/>
  <c r="K116" i="1"/>
  <c r="K35" i="1"/>
  <c r="K7" i="1"/>
  <c r="K141" i="1"/>
  <c r="K274" i="1"/>
  <c r="K208" i="1"/>
  <c r="K280" i="1"/>
  <c r="K281" i="1"/>
  <c r="K235" i="1"/>
  <c r="K2" i="1"/>
  <c r="K219" i="1"/>
  <c r="K231" i="1"/>
  <c r="K181" i="1"/>
  <c r="K146" i="1"/>
  <c r="K127" i="1"/>
  <c r="K45" i="1"/>
  <c r="K132" i="1"/>
  <c r="K154" i="1"/>
  <c r="K183" i="1"/>
  <c r="K63" i="1"/>
  <c r="K268" i="1"/>
  <c r="K226" i="1"/>
  <c r="K247" i="1"/>
  <c r="K66" i="1"/>
  <c r="K84" i="1"/>
  <c r="K14" i="1"/>
  <c r="K202" i="1"/>
  <c r="K229" i="1"/>
  <c r="K165" i="1"/>
  <c r="K47" i="1"/>
  <c r="K205" i="1"/>
  <c r="K43" i="1"/>
  <c r="K158" i="1"/>
  <c r="K248" i="1"/>
  <c r="K267" i="1"/>
  <c r="K254" i="1"/>
  <c r="K4" i="1"/>
  <c r="K61" i="1"/>
  <c r="K112" i="1"/>
  <c r="K44" i="1"/>
  <c r="K291" i="1"/>
  <c r="K257" i="1"/>
  <c r="K192" i="1"/>
  <c r="K55" i="1"/>
  <c r="K179" i="1"/>
  <c r="K60" i="1"/>
  <c r="K133" i="1"/>
  <c r="K108" i="1"/>
  <c r="K28" i="1"/>
  <c r="K57" i="1"/>
  <c r="K111" i="1"/>
  <c r="K86" i="1"/>
  <c r="K163" i="1"/>
  <c r="K144" i="1"/>
  <c r="K49" i="1"/>
  <c r="K225" i="1"/>
  <c r="K152" i="1"/>
  <c r="K288" i="1"/>
  <c r="K211" i="1"/>
  <c r="K98" i="1"/>
  <c r="K238" i="1"/>
  <c r="K131" i="1"/>
  <c r="K153" i="1"/>
  <c r="K191" i="1"/>
  <c r="K5" i="1"/>
  <c r="K244" i="1"/>
  <c r="K174" i="1"/>
  <c r="K263" i="1"/>
  <c r="K160" i="1"/>
  <c r="K156" i="1"/>
  <c r="K149" i="1"/>
  <c r="K222" i="1"/>
  <c r="K223" i="1"/>
  <c r="K240" i="1"/>
  <c r="K259" i="1"/>
  <c r="K71" i="1"/>
  <c r="K109" i="1"/>
  <c r="K22" i="1"/>
  <c r="K76" i="1"/>
  <c r="K189" i="1"/>
  <c r="K255" i="1"/>
  <c r="K123" i="1"/>
  <c r="K261" i="1"/>
  <c r="K217" i="1"/>
  <c r="K70" i="1"/>
  <c r="K3" i="1"/>
  <c r="K122" i="1"/>
  <c r="K170" i="1"/>
  <c r="K176" i="1"/>
  <c r="K194" i="1"/>
  <c r="K19" i="1"/>
  <c r="K185" i="1"/>
  <c r="K37" i="1"/>
  <c r="K21" i="1"/>
  <c r="K197" i="1"/>
  <c r="K74" i="1"/>
  <c r="K276" i="1"/>
  <c r="K88" i="1"/>
  <c r="K103" i="1"/>
  <c r="K251" i="1"/>
  <c r="K142" i="1"/>
  <c r="K293" i="1"/>
  <c r="K110" i="1"/>
  <c r="K166" i="1"/>
  <c r="K201" i="1"/>
  <c r="K264" i="1"/>
  <c r="K292" i="1"/>
  <c r="K206" i="1"/>
  <c r="K161" i="1"/>
  <c r="K177" i="1"/>
  <c r="K187" i="1"/>
  <c r="K184" i="1"/>
  <c r="K32" i="1"/>
  <c r="K62" i="1"/>
  <c r="K168" i="1"/>
  <c r="K214" i="1"/>
  <c r="K273" i="1"/>
  <c r="K129" i="1"/>
  <c r="K65" i="1"/>
  <c r="K262" i="1"/>
  <c r="K29" i="1"/>
  <c r="K236" i="1"/>
  <c r="K13" i="1"/>
  <c r="K164" i="1"/>
  <c r="K209" i="1"/>
  <c r="K128" i="1"/>
  <c r="K266" i="1"/>
  <c r="K282" i="1"/>
  <c r="K81" i="1"/>
  <c r="K85" i="1"/>
  <c r="K10" i="1"/>
  <c r="K120" i="1"/>
  <c r="K287" i="1"/>
  <c r="K38" i="1"/>
  <c r="K20" i="1"/>
  <c r="K113" i="1"/>
  <c r="K101" i="1"/>
  <c r="K190" i="1"/>
  <c r="K159" i="1"/>
  <c r="K119" i="1"/>
  <c r="K41" i="1"/>
  <c r="K93" i="1"/>
  <c r="K277" i="1"/>
  <c r="K87" i="1"/>
  <c r="K147" i="1"/>
  <c r="K143" i="1"/>
  <c r="K250" i="1"/>
  <c r="K230" i="1"/>
  <c r="K46" i="1"/>
  <c r="K252" i="1"/>
  <c r="K151" i="1"/>
  <c r="K139" i="1"/>
  <c r="K91" i="1"/>
  <c r="K90" i="1"/>
  <c r="K138" i="1"/>
  <c r="K224" i="1"/>
  <c r="K279" i="1"/>
  <c r="K51" i="1"/>
  <c r="K12" i="1"/>
  <c r="K97" i="1"/>
  <c r="K23" i="1"/>
  <c r="K249" i="1"/>
  <c r="K134" i="1"/>
  <c r="K8" i="1"/>
  <c r="K233" i="1"/>
  <c r="K182" i="1"/>
  <c r="K220" i="1"/>
  <c r="K115" i="1"/>
  <c r="K227" i="1"/>
  <c r="K83" i="1"/>
  <c r="K33" i="1"/>
  <c r="K269" i="1"/>
  <c r="K26" i="1"/>
  <c r="K212" i="1"/>
  <c r="K216" i="1"/>
  <c r="K102" i="1"/>
  <c r="K92" i="1"/>
  <c r="K285" i="1"/>
  <c r="K59" i="1"/>
  <c r="K50" i="1"/>
  <c r="K150" i="1"/>
  <c r="K145" i="1"/>
  <c r="K155" i="1"/>
  <c r="K283" i="1"/>
  <c r="K107" i="1"/>
  <c r="K58" i="1"/>
  <c r="K265" i="1"/>
  <c r="K15" i="1"/>
  <c r="K271" i="1"/>
  <c r="K48" i="1"/>
  <c r="K167" i="1"/>
  <c r="K75" i="1"/>
  <c r="K17" i="1"/>
  <c r="K79" i="1"/>
  <c r="K64" i="1"/>
  <c r="K68" i="1"/>
  <c r="K232" i="1"/>
  <c r="K25" i="1"/>
  <c r="K207" i="1"/>
  <c r="K114" i="1"/>
  <c r="K94" i="1"/>
  <c r="K195" i="1"/>
  <c r="K118" i="1"/>
  <c r="K52" i="1"/>
  <c r="K188" i="1"/>
  <c r="K175" i="1"/>
  <c r="K124" i="1"/>
  <c r="K260" i="1"/>
  <c r="K278" i="1"/>
  <c r="K104" i="1"/>
  <c r="K125" i="1"/>
  <c r="K258" i="1"/>
  <c r="K169" i="1"/>
  <c r="K270" i="1"/>
  <c r="K242" i="1"/>
  <c r="K171" i="1"/>
  <c r="K56" i="1"/>
  <c r="K9" i="1"/>
  <c r="K239" i="1"/>
  <c r="K290" i="1"/>
  <c r="K203" i="1"/>
  <c r="K135" i="1"/>
  <c r="K105" i="1"/>
  <c r="K272" i="1"/>
  <c r="K148" i="1"/>
  <c r="K40" i="1"/>
  <c r="K106" i="1"/>
  <c r="K11" i="1"/>
  <c r="K289" i="1"/>
  <c r="K96" i="1"/>
  <c r="K100" i="1"/>
  <c r="K241" i="1"/>
  <c r="K82" i="1"/>
  <c r="K89" i="1"/>
  <c r="K157" i="1"/>
  <c r="K286" i="1"/>
  <c r="K18" i="1"/>
  <c r="K36" i="1"/>
  <c r="K126" i="1"/>
  <c r="K136" i="1"/>
  <c r="K228" i="1"/>
  <c r="K221" i="1"/>
  <c r="K193" i="1"/>
  <c r="K173" i="1"/>
  <c r="K215" i="1"/>
  <c r="K95" i="1"/>
  <c r="K256" i="1"/>
  <c r="K121" i="1"/>
  <c r="K180" i="1"/>
  <c r="K69" i="1"/>
  <c r="K198" i="1"/>
  <c r="K54" i="1"/>
  <c r="J117" i="1"/>
  <c r="J137" i="1"/>
  <c r="J178" i="1"/>
  <c r="J31" i="1"/>
  <c r="J16" i="1"/>
  <c r="J80" i="1"/>
  <c r="J237" i="1"/>
  <c r="J34" i="1"/>
  <c r="J77" i="1"/>
  <c r="J243" i="1"/>
  <c r="J172" i="1"/>
  <c r="J245" i="1"/>
  <c r="J42" i="1"/>
  <c r="J162" i="1"/>
  <c r="J199" i="1"/>
  <c r="J204" i="1"/>
  <c r="J72" i="1"/>
  <c r="J140" i="1"/>
  <c r="J218" i="1"/>
  <c r="J67" i="1"/>
  <c r="J39" i="1"/>
  <c r="J78" i="1"/>
  <c r="J73" i="1"/>
  <c r="J284" i="1"/>
  <c r="J246" i="1"/>
  <c r="J99" i="1"/>
  <c r="J210" i="1"/>
  <c r="J24" i="1"/>
  <c r="J200" i="1"/>
  <c r="J6" i="1"/>
  <c r="J30" i="1"/>
  <c r="J196" i="1"/>
  <c r="J53" i="1"/>
  <c r="J275" i="1"/>
  <c r="J27" i="1"/>
  <c r="J234" i="1"/>
  <c r="J253" i="1"/>
  <c r="J213" i="1"/>
  <c r="J130" i="1"/>
  <c r="J186" i="1"/>
  <c r="J116" i="1"/>
  <c r="J35" i="1"/>
  <c r="J7" i="1"/>
  <c r="J141" i="1"/>
  <c r="J274" i="1"/>
  <c r="J208" i="1"/>
  <c r="J280" i="1"/>
  <c r="J281" i="1"/>
  <c r="J235" i="1"/>
  <c r="J2" i="1"/>
  <c r="J219" i="1"/>
  <c r="J231" i="1"/>
  <c r="J181" i="1"/>
  <c r="J146" i="1"/>
  <c r="J127" i="1"/>
  <c r="J45" i="1"/>
  <c r="J132" i="1"/>
  <c r="J154" i="1"/>
  <c r="J183" i="1"/>
  <c r="J63" i="1"/>
  <c r="J268" i="1"/>
  <c r="J226" i="1"/>
  <c r="J247" i="1"/>
  <c r="J66" i="1"/>
  <c r="J84" i="1"/>
  <c r="J14" i="1"/>
  <c r="J202" i="1"/>
  <c r="J229" i="1"/>
  <c r="J165" i="1"/>
  <c r="J47" i="1"/>
  <c r="J205" i="1"/>
  <c r="J43" i="1"/>
  <c r="J158" i="1"/>
  <c r="J248" i="1"/>
  <c r="J267" i="1"/>
  <c r="J254" i="1"/>
  <c r="J4" i="1"/>
  <c r="J61" i="1"/>
  <c r="J112" i="1"/>
  <c r="J44" i="1"/>
  <c r="J291" i="1"/>
  <c r="J257" i="1"/>
  <c r="J192" i="1"/>
  <c r="J55" i="1"/>
  <c r="J179" i="1"/>
  <c r="J60" i="1"/>
  <c r="J133" i="1"/>
  <c r="J108" i="1"/>
  <c r="J28" i="1"/>
  <c r="J57" i="1"/>
  <c r="J111" i="1"/>
  <c r="J86" i="1"/>
  <c r="J163" i="1"/>
  <c r="J144" i="1"/>
  <c r="J49" i="1"/>
  <c r="J225" i="1"/>
  <c r="J152" i="1"/>
  <c r="J288" i="1"/>
  <c r="J211" i="1"/>
  <c r="J98" i="1"/>
  <c r="J238" i="1"/>
  <c r="J131" i="1"/>
  <c r="J153" i="1"/>
  <c r="J191" i="1"/>
  <c r="J5" i="1"/>
  <c r="J244" i="1"/>
  <c r="J174" i="1"/>
  <c r="J263" i="1"/>
  <c r="J160" i="1"/>
  <c r="J156" i="1"/>
  <c r="J149" i="1"/>
  <c r="J222" i="1"/>
  <c r="J223" i="1"/>
  <c r="J240" i="1"/>
  <c r="J259" i="1"/>
  <c r="J71" i="1"/>
  <c r="J109" i="1"/>
  <c r="J22" i="1"/>
  <c r="J76" i="1"/>
  <c r="J189" i="1"/>
  <c r="J255" i="1"/>
  <c r="J123" i="1"/>
  <c r="J261" i="1"/>
  <c r="J217" i="1"/>
  <c r="J70" i="1"/>
  <c r="J3" i="1"/>
  <c r="J122" i="1"/>
  <c r="J170" i="1"/>
  <c r="J176" i="1"/>
  <c r="J194" i="1"/>
  <c r="J19" i="1"/>
  <c r="J185" i="1"/>
  <c r="J37" i="1"/>
  <c r="J21" i="1"/>
  <c r="J197" i="1"/>
  <c r="J74" i="1"/>
  <c r="J276" i="1"/>
  <c r="J88" i="1"/>
  <c r="J103" i="1"/>
  <c r="J251" i="1"/>
  <c r="J142" i="1"/>
  <c r="J293" i="1"/>
  <c r="J110" i="1"/>
  <c r="J166" i="1"/>
  <c r="J201" i="1"/>
  <c r="J264" i="1"/>
  <c r="J292" i="1"/>
  <c r="J206" i="1"/>
  <c r="J161" i="1"/>
  <c r="J177" i="1"/>
  <c r="J187" i="1"/>
  <c r="J184" i="1"/>
  <c r="J32" i="1"/>
  <c r="J62" i="1"/>
  <c r="J168" i="1"/>
  <c r="J214" i="1"/>
  <c r="J273" i="1"/>
  <c r="J129" i="1"/>
  <c r="J65" i="1"/>
  <c r="J262" i="1"/>
  <c r="J29" i="1"/>
  <c r="J236" i="1"/>
  <c r="J13" i="1"/>
  <c r="J164" i="1"/>
  <c r="J209" i="1"/>
  <c r="J128" i="1"/>
  <c r="J266" i="1"/>
  <c r="J282" i="1"/>
  <c r="J81" i="1"/>
  <c r="J85" i="1"/>
  <c r="J10" i="1"/>
  <c r="J120" i="1"/>
  <c r="J287" i="1"/>
  <c r="J38" i="1"/>
  <c r="J20" i="1"/>
  <c r="J113" i="1"/>
  <c r="J101" i="1"/>
  <c r="J190" i="1"/>
  <c r="J159" i="1"/>
  <c r="J119" i="1"/>
  <c r="J41" i="1"/>
  <c r="J93" i="1"/>
  <c r="J277" i="1"/>
  <c r="J87" i="1"/>
  <c r="J147" i="1"/>
  <c r="J143" i="1"/>
  <c r="J250" i="1"/>
  <c r="J230" i="1"/>
  <c r="J46" i="1"/>
  <c r="J252" i="1"/>
  <c r="J151" i="1"/>
  <c r="J139" i="1"/>
  <c r="J91" i="1"/>
  <c r="J90" i="1"/>
  <c r="J138" i="1"/>
  <c r="J224" i="1"/>
  <c r="J279" i="1"/>
  <c r="J51" i="1"/>
  <c r="J12" i="1"/>
  <c r="J97" i="1"/>
  <c r="J23" i="1"/>
  <c r="J249" i="1"/>
  <c r="J134" i="1"/>
  <c r="J8" i="1"/>
  <c r="J233" i="1"/>
  <c r="J182" i="1"/>
  <c r="J220" i="1"/>
  <c r="J115" i="1"/>
  <c r="J227" i="1"/>
  <c r="J83" i="1"/>
  <c r="J33" i="1"/>
  <c r="J269" i="1"/>
  <c r="J26" i="1"/>
  <c r="J212" i="1"/>
  <c r="J216" i="1"/>
  <c r="J102" i="1"/>
  <c r="J92" i="1"/>
  <c r="J285" i="1"/>
  <c r="J59" i="1"/>
  <c r="J50" i="1"/>
  <c r="J150" i="1"/>
  <c r="J145" i="1"/>
  <c r="J155" i="1"/>
  <c r="J283" i="1"/>
  <c r="J107" i="1"/>
  <c r="J58" i="1"/>
  <c r="J265" i="1"/>
  <c r="J15" i="1"/>
  <c r="J271" i="1"/>
  <c r="J48" i="1"/>
  <c r="J167" i="1"/>
  <c r="J75" i="1"/>
  <c r="J17" i="1"/>
  <c r="J79" i="1"/>
  <c r="J64" i="1"/>
  <c r="J68" i="1"/>
  <c r="J232" i="1"/>
  <c r="J25" i="1"/>
  <c r="J207" i="1"/>
  <c r="J114" i="1"/>
  <c r="J94" i="1"/>
  <c r="J195" i="1"/>
  <c r="J118" i="1"/>
  <c r="J52" i="1"/>
  <c r="J188" i="1"/>
  <c r="J175" i="1"/>
  <c r="J124" i="1"/>
  <c r="J260" i="1"/>
  <c r="J278" i="1"/>
  <c r="J104" i="1"/>
  <c r="J125" i="1"/>
  <c r="J258" i="1"/>
  <c r="J169" i="1"/>
  <c r="J270" i="1"/>
  <c r="J242" i="1"/>
  <c r="J171" i="1"/>
  <c r="J56" i="1"/>
  <c r="J9" i="1"/>
  <c r="J239" i="1"/>
  <c r="J290" i="1"/>
  <c r="J203" i="1"/>
  <c r="J135" i="1"/>
  <c r="J105" i="1"/>
  <c r="J272" i="1"/>
  <c r="J148" i="1"/>
  <c r="J40" i="1"/>
  <c r="J106" i="1"/>
  <c r="J11" i="1"/>
  <c r="J289" i="1"/>
  <c r="J96" i="1"/>
  <c r="J100" i="1"/>
  <c r="J241" i="1"/>
  <c r="J82" i="1"/>
  <c r="J89" i="1"/>
  <c r="J157" i="1"/>
  <c r="J286" i="1"/>
  <c r="J18" i="1"/>
  <c r="J36" i="1"/>
  <c r="J126" i="1"/>
  <c r="J136" i="1"/>
  <c r="J228" i="1"/>
  <c r="J221" i="1"/>
  <c r="J193" i="1"/>
  <c r="J173" i="1"/>
  <c r="J215" i="1"/>
  <c r="J95" i="1"/>
  <c r="J256" i="1"/>
  <c r="J121" i="1"/>
  <c r="J180" i="1"/>
  <c r="J69" i="1"/>
  <c r="J198" i="1"/>
  <c r="J54" i="1"/>
  <c r="H117" i="1"/>
  <c r="H137" i="1"/>
  <c r="H178" i="1"/>
  <c r="H31" i="1"/>
  <c r="H16" i="1"/>
  <c r="H80" i="1"/>
  <c r="H237" i="1"/>
  <c r="H34" i="1"/>
  <c r="H77" i="1"/>
  <c r="H243" i="1"/>
  <c r="H172" i="1"/>
  <c r="H245" i="1"/>
  <c r="H42" i="1"/>
  <c r="H162" i="1"/>
  <c r="H199" i="1"/>
  <c r="H204" i="1"/>
  <c r="H72" i="1"/>
  <c r="H140" i="1"/>
  <c r="H218" i="1"/>
  <c r="H67" i="1"/>
  <c r="H39" i="1"/>
  <c r="H78" i="1"/>
  <c r="H73" i="1"/>
  <c r="H284" i="1"/>
  <c r="H246" i="1"/>
  <c r="H99" i="1"/>
  <c r="H210" i="1"/>
  <c r="H24" i="1"/>
  <c r="H200" i="1"/>
  <c r="H6" i="1"/>
  <c r="H30" i="1"/>
  <c r="H196" i="1"/>
  <c r="H53" i="1"/>
  <c r="H275" i="1"/>
  <c r="H27" i="1"/>
  <c r="H234" i="1"/>
  <c r="H253" i="1"/>
  <c r="H213" i="1"/>
  <c r="H130" i="1"/>
  <c r="H186" i="1"/>
  <c r="H116" i="1"/>
  <c r="H35" i="1"/>
  <c r="H7" i="1"/>
  <c r="H141" i="1"/>
  <c r="H274" i="1"/>
  <c r="H208" i="1"/>
  <c r="H280" i="1"/>
  <c r="H281" i="1"/>
  <c r="H235" i="1"/>
  <c r="H2" i="1"/>
  <c r="H219" i="1"/>
  <c r="H231" i="1"/>
  <c r="H181" i="1"/>
  <c r="H146" i="1"/>
  <c r="H127" i="1"/>
  <c r="H45" i="1"/>
  <c r="H132" i="1"/>
  <c r="H154" i="1"/>
  <c r="H183" i="1"/>
  <c r="H63" i="1"/>
  <c r="H268" i="1"/>
  <c r="H226" i="1"/>
  <c r="H247" i="1"/>
  <c r="H66" i="1"/>
  <c r="H84" i="1"/>
  <c r="H14" i="1"/>
  <c r="H202" i="1"/>
  <c r="H229" i="1"/>
  <c r="H165" i="1"/>
  <c r="H47" i="1"/>
  <c r="H205" i="1"/>
  <c r="H43" i="1"/>
  <c r="H158" i="1"/>
  <c r="H248" i="1"/>
  <c r="H267" i="1"/>
  <c r="H254" i="1"/>
  <c r="H4" i="1"/>
  <c r="H61" i="1"/>
  <c r="H112" i="1"/>
  <c r="H44" i="1"/>
  <c r="H291" i="1"/>
  <c r="H257" i="1"/>
  <c r="H192" i="1"/>
  <c r="H55" i="1"/>
  <c r="H179" i="1"/>
  <c r="H60" i="1"/>
  <c r="H133" i="1"/>
  <c r="H108" i="1"/>
  <c r="H28" i="1"/>
  <c r="H57" i="1"/>
  <c r="H111" i="1"/>
  <c r="H86" i="1"/>
  <c r="H163" i="1"/>
  <c r="H144" i="1"/>
  <c r="H49" i="1"/>
  <c r="H225" i="1"/>
  <c r="H152" i="1"/>
  <c r="H288" i="1"/>
  <c r="H211" i="1"/>
  <c r="H98" i="1"/>
  <c r="H238" i="1"/>
  <c r="H131" i="1"/>
  <c r="H153" i="1"/>
  <c r="H191" i="1"/>
  <c r="H5" i="1"/>
  <c r="H244" i="1"/>
  <c r="H174" i="1"/>
  <c r="H263" i="1"/>
  <c r="H160" i="1"/>
  <c r="H156" i="1"/>
  <c r="H149" i="1"/>
  <c r="H222" i="1"/>
  <c r="H223" i="1"/>
  <c r="H240" i="1"/>
  <c r="H259" i="1"/>
  <c r="H71" i="1"/>
  <c r="H109" i="1"/>
  <c r="H22" i="1"/>
  <c r="H76" i="1"/>
  <c r="H189" i="1"/>
  <c r="H255" i="1"/>
  <c r="H123" i="1"/>
  <c r="H261" i="1"/>
  <c r="H217" i="1"/>
  <c r="H70" i="1"/>
  <c r="H3" i="1"/>
  <c r="H122" i="1"/>
  <c r="H170" i="1"/>
  <c r="H176" i="1"/>
  <c r="H194" i="1"/>
  <c r="H19" i="1"/>
  <c r="H185" i="1"/>
  <c r="H37" i="1"/>
  <c r="H21" i="1"/>
  <c r="H197" i="1"/>
  <c r="H74" i="1"/>
  <c r="H276" i="1"/>
  <c r="H88" i="1"/>
  <c r="H103" i="1"/>
  <c r="H251" i="1"/>
  <c r="H142" i="1"/>
  <c r="H293" i="1"/>
  <c r="H110" i="1"/>
  <c r="H166" i="1"/>
  <c r="H201" i="1"/>
  <c r="H264" i="1"/>
  <c r="H292" i="1"/>
  <c r="H206" i="1"/>
  <c r="H161" i="1"/>
  <c r="H177" i="1"/>
  <c r="H187" i="1"/>
  <c r="H184" i="1"/>
  <c r="H32" i="1"/>
  <c r="H62" i="1"/>
  <c r="H168" i="1"/>
  <c r="H214" i="1"/>
  <c r="H273" i="1"/>
  <c r="H129" i="1"/>
  <c r="H65" i="1"/>
  <c r="H262" i="1"/>
  <c r="H29" i="1"/>
  <c r="H236" i="1"/>
  <c r="H13" i="1"/>
  <c r="H164" i="1"/>
  <c r="H209" i="1"/>
  <c r="H128" i="1"/>
  <c r="H266" i="1"/>
  <c r="H282" i="1"/>
  <c r="H81" i="1"/>
  <c r="H85" i="1"/>
  <c r="H10" i="1"/>
  <c r="H120" i="1"/>
  <c r="H287" i="1"/>
  <c r="H38" i="1"/>
  <c r="H20" i="1"/>
  <c r="H113" i="1"/>
  <c r="H101" i="1"/>
  <c r="H190" i="1"/>
  <c r="H159" i="1"/>
  <c r="H119" i="1"/>
  <c r="H41" i="1"/>
  <c r="H93" i="1"/>
  <c r="H277" i="1"/>
  <c r="H87" i="1"/>
  <c r="H147" i="1"/>
  <c r="H143" i="1"/>
  <c r="H250" i="1"/>
  <c r="H230" i="1"/>
  <c r="H46" i="1"/>
  <c r="H252" i="1"/>
  <c r="H151" i="1"/>
  <c r="H139" i="1"/>
  <c r="H91" i="1"/>
  <c r="H90" i="1"/>
  <c r="H138" i="1"/>
  <c r="H224" i="1"/>
  <c r="H279" i="1"/>
  <c r="H51" i="1"/>
  <c r="H12" i="1"/>
  <c r="H97" i="1"/>
  <c r="H23" i="1"/>
  <c r="H249" i="1"/>
  <c r="H134" i="1"/>
  <c r="H8" i="1"/>
  <c r="H233" i="1"/>
  <c r="H182" i="1"/>
  <c r="H220" i="1"/>
  <c r="H115" i="1"/>
  <c r="H227" i="1"/>
  <c r="H83" i="1"/>
  <c r="H33" i="1"/>
  <c r="H269" i="1"/>
  <c r="H26" i="1"/>
  <c r="H212" i="1"/>
  <c r="H216" i="1"/>
  <c r="H102" i="1"/>
  <c r="H92" i="1"/>
  <c r="H285" i="1"/>
  <c r="H59" i="1"/>
  <c r="H50" i="1"/>
  <c r="H150" i="1"/>
  <c r="H145" i="1"/>
  <c r="H155" i="1"/>
  <c r="H283" i="1"/>
  <c r="H107" i="1"/>
  <c r="H58" i="1"/>
  <c r="H265" i="1"/>
  <c r="H15" i="1"/>
  <c r="H271" i="1"/>
  <c r="H48" i="1"/>
  <c r="H167" i="1"/>
  <c r="H75" i="1"/>
  <c r="H17" i="1"/>
  <c r="H79" i="1"/>
  <c r="H64" i="1"/>
  <c r="H68" i="1"/>
  <c r="H232" i="1"/>
  <c r="H25" i="1"/>
  <c r="H207" i="1"/>
  <c r="H114" i="1"/>
  <c r="H94" i="1"/>
  <c r="H195" i="1"/>
  <c r="H118" i="1"/>
  <c r="H52" i="1"/>
  <c r="H188" i="1"/>
  <c r="H175" i="1"/>
  <c r="H124" i="1"/>
  <c r="H260" i="1"/>
  <c r="H278" i="1"/>
  <c r="H104" i="1"/>
  <c r="H125" i="1"/>
  <c r="H258" i="1"/>
  <c r="H169" i="1"/>
  <c r="H270" i="1"/>
  <c r="H242" i="1"/>
  <c r="H171" i="1"/>
  <c r="H56" i="1"/>
  <c r="H9" i="1"/>
  <c r="H239" i="1"/>
  <c r="H290" i="1"/>
  <c r="H203" i="1"/>
  <c r="H135" i="1"/>
  <c r="H105" i="1"/>
  <c r="H272" i="1"/>
  <c r="H148" i="1"/>
  <c r="H40" i="1"/>
  <c r="H106" i="1"/>
  <c r="H11" i="1"/>
  <c r="H289" i="1"/>
  <c r="H96" i="1"/>
  <c r="H100" i="1"/>
  <c r="H241" i="1"/>
  <c r="H82" i="1"/>
  <c r="H89" i="1"/>
  <c r="H157" i="1"/>
  <c r="H286" i="1"/>
  <c r="H18" i="1"/>
  <c r="H36" i="1"/>
  <c r="H126" i="1"/>
  <c r="H136" i="1"/>
  <c r="H228" i="1"/>
  <c r="H221" i="1"/>
  <c r="H193" i="1"/>
  <c r="H173" i="1"/>
  <c r="H215" i="1"/>
  <c r="H95" i="1"/>
  <c r="H256" i="1"/>
  <c r="H121" i="1"/>
  <c r="H180" i="1"/>
  <c r="H69" i="1"/>
  <c r="H198" i="1"/>
  <c r="H54" i="1"/>
  <c r="I117" i="1"/>
  <c r="I137" i="1"/>
  <c r="I178" i="1"/>
  <c r="I31" i="1"/>
  <c r="I16" i="1"/>
  <c r="I80" i="1"/>
  <c r="I237" i="1"/>
  <c r="I34" i="1"/>
  <c r="I77" i="1"/>
  <c r="I243" i="1"/>
  <c r="I172" i="1"/>
  <c r="I245" i="1"/>
  <c r="I42" i="1"/>
  <c r="I162" i="1"/>
  <c r="I199" i="1"/>
  <c r="I204" i="1"/>
  <c r="I72" i="1"/>
  <c r="I140" i="1"/>
  <c r="I218" i="1"/>
  <c r="I67" i="1"/>
  <c r="I39" i="1"/>
  <c r="I78" i="1"/>
  <c r="I73" i="1"/>
  <c r="I284" i="1"/>
  <c r="I246" i="1"/>
  <c r="I99" i="1"/>
  <c r="I210" i="1"/>
  <c r="I24" i="1"/>
  <c r="I200" i="1"/>
  <c r="I6" i="1"/>
  <c r="I30" i="1"/>
  <c r="I196" i="1"/>
  <c r="I53" i="1"/>
  <c r="I275" i="1"/>
  <c r="I27" i="1"/>
  <c r="I234" i="1"/>
  <c r="I253" i="1"/>
  <c r="I213" i="1"/>
  <c r="I130" i="1"/>
  <c r="I186" i="1"/>
  <c r="I116" i="1"/>
  <c r="I35" i="1"/>
  <c r="I7" i="1"/>
  <c r="I141" i="1"/>
  <c r="I274" i="1"/>
  <c r="I208" i="1"/>
  <c r="I280" i="1"/>
  <c r="I281" i="1"/>
  <c r="I235" i="1"/>
  <c r="I2" i="1"/>
  <c r="I219" i="1"/>
  <c r="I231" i="1"/>
  <c r="I181" i="1"/>
  <c r="I146" i="1"/>
  <c r="I127" i="1"/>
  <c r="I45" i="1"/>
  <c r="I132" i="1"/>
  <c r="I154" i="1"/>
  <c r="I183" i="1"/>
  <c r="I63" i="1"/>
  <c r="I268" i="1"/>
  <c r="I226" i="1"/>
  <c r="I247" i="1"/>
  <c r="I66" i="1"/>
  <c r="I84" i="1"/>
  <c r="I14" i="1"/>
  <c r="I202" i="1"/>
  <c r="I229" i="1"/>
  <c r="I165" i="1"/>
  <c r="I47" i="1"/>
  <c r="I205" i="1"/>
  <c r="I43" i="1"/>
  <c r="I158" i="1"/>
  <c r="I248" i="1"/>
  <c r="I267" i="1"/>
  <c r="I254" i="1"/>
  <c r="I4" i="1"/>
  <c r="I61" i="1"/>
  <c r="I112" i="1"/>
  <c r="I44" i="1"/>
  <c r="I291" i="1"/>
  <c r="I257" i="1"/>
  <c r="I192" i="1"/>
  <c r="I55" i="1"/>
  <c r="I179" i="1"/>
  <c r="I60" i="1"/>
  <c r="I133" i="1"/>
  <c r="I108" i="1"/>
  <c r="I28" i="1"/>
  <c r="I57" i="1"/>
  <c r="I111" i="1"/>
  <c r="I86" i="1"/>
  <c r="I163" i="1"/>
  <c r="I144" i="1"/>
  <c r="I49" i="1"/>
  <c r="I225" i="1"/>
  <c r="I152" i="1"/>
  <c r="I288" i="1"/>
  <c r="I211" i="1"/>
  <c r="I98" i="1"/>
  <c r="I238" i="1"/>
  <c r="I131" i="1"/>
  <c r="I153" i="1"/>
  <c r="I191" i="1"/>
  <c r="I5" i="1"/>
  <c r="I244" i="1"/>
  <c r="I174" i="1"/>
  <c r="I263" i="1"/>
  <c r="I160" i="1"/>
  <c r="I156" i="1"/>
  <c r="I149" i="1"/>
  <c r="I222" i="1"/>
  <c r="I223" i="1"/>
  <c r="I240" i="1"/>
  <c r="I259" i="1"/>
  <c r="I71" i="1"/>
  <c r="I109" i="1"/>
  <c r="I22" i="1"/>
  <c r="I76" i="1"/>
  <c r="I189" i="1"/>
  <c r="I255" i="1"/>
  <c r="I123" i="1"/>
  <c r="I261" i="1"/>
  <c r="I217" i="1"/>
  <c r="I70" i="1"/>
  <c r="I3" i="1"/>
  <c r="I122" i="1"/>
  <c r="I170" i="1"/>
  <c r="I176" i="1"/>
  <c r="I194" i="1"/>
  <c r="I19" i="1"/>
  <c r="I185" i="1"/>
  <c r="I37" i="1"/>
  <c r="I21" i="1"/>
  <c r="I197" i="1"/>
  <c r="I74" i="1"/>
  <c r="I276" i="1"/>
  <c r="I88" i="1"/>
  <c r="I103" i="1"/>
  <c r="I251" i="1"/>
  <c r="I142" i="1"/>
  <c r="I293" i="1"/>
  <c r="I110" i="1"/>
  <c r="I166" i="1"/>
  <c r="I201" i="1"/>
  <c r="I264" i="1"/>
  <c r="I292" i="1"/>
  <c r="I206" i="1"/>
  <c r="I161" i="1"/>
  <c r="I177" i="1"/>
  <c r="I187" i="1"/>
  <c r="I184" i="1"/>
  <c r="I32" i="1"/>
  <c r="I62" i="1"/>
  <c r="I168" i="1"/>
  <c r="I214" i="1"/>
  <c r="I273" i="1"/>
  <c r="I129" i="1"/>
  <c r="I65" i="1"/>
  <c r="I262" i="1"/>
  <c r="I29" i="1"/>
  <c r="I236" i="1"/>
  <c r="I13" i="1"/>
  <c r="I164" i="1"/>
  <c r="I209" i="1"/>
  <c r="I128" i="1"/>
  <c r="I266" i="1"/>
  <c r="I282" i="1"/>
  <c r="I81" i="1"/>
  <c r="I85" i="1"/>
  <c r="I10" i="1"/>
  <c r="I120" i="1"/>
  <c r="I287" i="1"/>
  <c r="I38" i="1"/>
  <c r="I20" i="1"/>
  <c r="I113" i="1"/>
  <c r="I101" i="1"/>
  <c r="I190" i="1"/>
  <c r="I159" i="1"/>
  <c r="I119" i="1"/>
  <c r="I41" i="1"/>
  <c r="I93" i="1"/>
  <c r="I277" i="1"/>
  <c r="I87" i="1"/>
  <c r="I147" i="1"/>
  <c r="I143" i="1"/>
  <c r="I250" i="1"/>
  <c r="I230" i="1"/>
  <c r="I46" i="1"/>
  <c r="I252" i="1"/>
  <c r="I151" i="1"/>
  <c r="I139" i="1"/>
  <c r="I91" i="1"/>
  <c r="I90" i="1"/>
  <c r="I138" i="1"/>
  <c r="I224" i="1"/>
  <c r="I279" i="1"/>
  <c r="I51" i="1"/>
  <c r="I12" i="1"/>
  <c r="I97" i="1"/>
  <c r="I23" i="1"/>
  <c r="I249" i="1"/>
  <c r="I134" i="1"/>
  <c r="I8" i="1"/>
  <c r="I233" i="1"/>
  <c r="I182" i="1"/>
  <c r="I220" i="1"/>
  <c r="I115" i="1"/>
  <c r="I227" i="1"/>
  <c r="I83" i="1"/>
  <c r="I33" i="1"/>
  <c r="I269" i="1"/>
  <c r="I26" i="1"/>
  <c r="I212" i="1"/>
  <c r="I216" i="1"/>
  <c r="I102" i="1"/>
  <c r="I92" i="1"/>
  <c r="I285" i="1"/>
  <c r="I59" i="1"/>
  <c r="I50" i="1"/>
  <c r="I150" i="1"/>
  <c r="I145" i="1"/>
  <c r="I155" i="1"/>
  <c r="I283" i="1"/>
  <c r="I107" i="1"/>
  <c r="I58" i="1"/>
  <c r="I265" i="1"/>
  <c r="I15" i="1"/>
  <c r="I271" i="1"/>
  <c r="I48" i="1"/>
  <c r="I167" i="1"/>
  <c r="I75" i="1"/>
  <c r="I17" i="1"/>
  <c r="I79" i="1"/>
  <c r="I64" i="1"/>
  <c r="I68" i="1"/>
  <c r="I232" i="1"/>
  <c r="I25" i="1"/>
  <c r="I207" i="1"/>
  <c r="I114" i="1"/>
  <c r="I94" i="1"/>
  <c r="I195" i="1"/>
  <c r="I118" i="1"/>
  <c r="I52" i="1"/>
  <c r="I188" i="1"/>
  <c r="I175" i="1"/>
  <c r="I124" i="1"/>
  <c r="I260" i="1"/>
  <c r="I278" i="1"/>
  <c r="I104" i="1"/>
  <c r="I125" i="1"/>
  <c r="I258" i="1"/>
  <c r="I169" i="1"/>
  <c r="I270" i="1"/>
  <c r="I242" i="1"/>
  <c r="I171" i="1"/>
  <c r="I56" i="1"/>
  <c r="I9" i="1"/>
  <c r="I239" i="1"/>
  <c r="I290" i="1"/>
  <c r="I203" i="1"/>
  <c r="I135" i="1"/>
  <c r="I105" i="1"/>
  <c r="I272" i="1"/>
  <c r="I148" i="1"/>
  <c r="I40" i="1"/>
  <c r="I106" i="1"/>
  <c r="I11" i="1"/>
  <c r="I289" i="1"/>
  <c r="I96" i="1"/>
  <c r="I100" i="1"/>
  <c r="I241" i="1"/>
  <c r="I82" i="1"/>
  <c r="I89" i="1"/>
  <c r="I157" i="1"/>
  <c r="I286" i="1"/>
  <c r="I18" i="1"/>
  <c r="I36" i="1"/>
  <c r="I126" i="1"/>
  <c r="I136" i="1"/>
  <c r="I228" i="1"/>
  <c r="I221" i="1"/>
  <c r="I193" i="1"/>
  <c r="I173" i="1"/>
  <c r="I215" i="1"/>
  <c r="I95" i="1"/>
  <c r="I256" i="1"/>
  <c r="I121" i="1"/>
  <c r="I180" i="1"/>
  <c r="I69" i="1"/>
  <c r="I198" i="1"/>
  <c r="I54" i="1"/>
</calcChain>
</file>

<file path=xl/sharedStrings.xml><?xml version="1.0" encoding="utf-8"?>
<sst xmlns="http://schemas.openxmlformats.org/spreadsheetml/2006/main" count="2993" uniqueCount="358">
  <si>
    <t>Booking_ID</t>
  </si>
  <si>
    <t>Flight_Date</t>
  </si>
  <si>
    <t>Route</t>
  </si>
  <si>
    <t>Passenger_Type</t>
  </si>
  <si>
    <t>Travel_Class</t>
  </si>
  <si>
    <t>Ticket_Price</t>
  </si>
  <si>
    <t>Booking_Status</t>
  </si>
  <si>
    <t>ABK00122</t>
  </si>
  <si>
    <t>MGQ-HGA</t>
  </si>
  <si>
    <t>Adult</t>
  </si>
  <si>
    <t>Economy</t>
  </si>
  <si>
    <t>Confirmed</t>
  </si>
  <si>
    <t>ABK00143</t>
  </si>
  <si>
    <t>MGQ-ADD</t>
  </si>
  <si>
    <t>Completed</t>
  </si>
  <si>
    <t>ABK00187</t>
  </si>
  <si>
    <t>Child</t>
  </si>
  <si>
    <t>ABK00033</t>
  </si>
  <si>
    <t>MGQ-NBO</t>
  </si>
  <si>
    <t>ABK00016</t>
  </si>
  <si>
    <t>ABK00083</t>
  </si>
  <si>
    <t>ABK00248</t>
  </si>
  <si>
    <t>Senior</t>
  </si>
  <si>
    <t>ABK00036</t>
  </si>
  <si>
    <t>MGQ-KMU</t>
  </si>
  <si>
    <t>ABK00080</t>
  </si>
  <si>
    <t>ABK00254</t>
  </si>
  <si>
    <t>cancelled</t>
  </si>
  <si>
    <t>ABK00179</t>
  </si>
  <si>
    <t>ABK00256</t>
  </si>
  <si>
    <t>ABK00044</t>
  </si>
  <si>
    <t>ABK00168</t>
  </si>
  <si>
    <t>MGQ-BSA</t>
  </si>
  <si>
    <t>Business</t>
  </si>
  <si>
    <t>ABK00209</t>
  </si>
  <si>
    <t>ABK00214</t>
  </si>
  <si>
    <t>ABK00075</t>
  </si>
  <si>
    <t>ABK00146</t>
  </si>
  <si>
    <t>ABK00229</t>
  </si>
  <si>
    <t>ABK00070</t>
  </si>
  <si>
    <t>ABK00041</t>
  </si>
  <si>
    <t>ABK00081</t>
  </si>
  <si>
    <t>ABK00076</t>
  </si>
  <si>
    <t>ABK00257</t>
  </si>
  <si>
    <t>ABK00103</t>
  </si>
  <si>
    <t>ABK00221</t>
  </si>
  <si>
    <t>Cancelled</t>
  </si>
  <si>
    <t>ABK00026</t>
  </si>
  <si>
    <t>ABK00210</t>
  </si>
  <si>
    <t>ABK00005</t>
  </si>
  <si>
    <t>ABK00032</t>
  </si>
  <si>
    <t>ABK00206</t>
  </si>
  <si>
    <t>ABK00056</t>
  </si>
  <si>
    <t>ABK00289</t>
  </si>
  <si>
    <t>ABK00029</t>
  </si>
  <si>
    <t>ABK00245</t>
  </si>
  <si>
    <t>ABK00264</t>
  </si>
  <si>
    <t>ABK00224</t>
  </si>
  <si>
    <t>ABK00136</t>
  </si>
  <si>
    <t>ABK00196</t>
  </si>
  <si>
    <t>ABK00121</t>
  </si>
  <si>
    <t>NULL</t>
  </si>
  <si>
    <t>ABK00037</t>
  </si>
  <si>
    <t>ABK00006</t>
  </si>
  <si>
    <t>ABK00147</t>
  </si>
  <si>
    <t>ABK00288</t>
  </si>
  <si>
    <t>ABK00219</t>
  </si>
  <si>
    <t>ABK00246</t>
  </si>
  <si>
    <t>ABK00001</t>
  </si>
  <si>
    <t>ABK00230</t>
  </si>
  <si>
    <t>ABK00242</t>
  </si>
  <si>
    <t>completed</t>
  </si>
  <si>
    <t>ABK00190</t>
  </si>
  <si>
    <t>ABK00152</t>
  </si>
  <si>
    <t>ABK00133</t>
  </si>
  <si>
    <t>ABK00047</t>
  </si>
  <si>
    <t>N/A</t>
  </si>
  <si>
    <t>ABK00138</t>
  </si>
  <si>
    <t>ABK00160</t>
  </si>
  <si>
    <t>ABK00192</t>
  </si>
  <si>
    <t>ABK00066</t>
  </si>
  <si>
    <t>ABK00280</t>
  </si>
  <si>
    <t>ABK00237</t>
  </si>
  <si>
    <t>ABK00258</t>
  </si>
  <si>
    <t>Unknown</t>
  </si>
  <si>
    <t>ABK00069</t>
  </si>
  <si>
    <t>ABK00087</t>
  </si>
  <si>
    <t>ABK00014</t>
  </si>
  <si>
    <t>ABK00212</t>
  </si>
  <si>
    <t>ABK00240</t>
  </si>
  <si>
    <t>ABK00171</t>
  </si>
  <si>
    <t>ABK00049</t>
  </si>
  <si>
    <t>ABK00216</t>
  </si>
  <si>
    <t>ABK00045</t>
  </si>
  <si>
    <t>ABK00164</t>
  </si>
  <si>
    <t>ABK00259</t>
  </si>
  <si>
    <t>ABK00279</t>
  </si>
  <si>
    <t>ABK00265</t>
  </si>
  <si>
    <t>ABK00003</t>
  </si>
  <si>
    <t>ABK00064</t>
  </si>
  <si>
    <t>ABK00117</t>
  </si>
  <si>
    <t>ABK00046</t>
  </si>
  <si>
    <t>ABK00268</t>
  </si>
  <si>
    <t>ABK00202</t>
  </si>
  <si>
    <t>business</t>
  </si>
  <si>
    <t>ABK00058</t>
  </si>
  <si>
    <t>ABK00188</t>
  </si>
  <si>
    <t>ABK00063</t>
  </si>
  <si>
    <t>ABK00139</t>
  </si>
  <si>
    <t>ABK00112</t>
  </si>
  <si>
    <t>ABK00030</t>
  </si>
  <si>
    <t>adult</t>
  </si>
  <si>
    <t>ABK00060</t>
  </si>
  <si>
    <t>ABK00116</t>
  </si>
  <si>
    <t>ABK00089</t>
  </si>
  <si>
    <t>ABK00169</t>
  </si>
  <si>
    <t>ABK00150</t>
  </si>
  <si>
    <t>-</t>
  </si>
  <si>
    <t>ABK00051</t>
  </si>
  <si>
    <t>ABK00236</t>
  </si>
  <si>
    <t>ABK00158</t>
  </si>
  <si>
    <t>ABK00222</t>
  </si>
  <si>
    <t>ABK00102</t>
  </si>
  <si>
    <t>ABK00249</t>
  </si>
  <si>
    <t>ABK00137</t>
  </si>
  <si>
    <t>ABK00159</t>
  </si>
  <si>
    <t>ABK00201</t>
  </si>
  <si>
    <t>ABK00004</t>
  </si>
  <si>
    <t>ABK00255</t>
  </si>
  <si>
    <t>ABK00181</t>
  </si>
  <si>
    <t>ABK00274</t>
  </si>
  <si>
    <t>ABK00166</t>
  </si>
  <si>
    <t>ABK00162</t>
  </si>
  <si>
    <t>ABK00155</t>
  </si>
  <si>
    <t>ABK00233</t>
  </si>
  <si>
    <t>ABK00234</t>
  </si>
  <si>
    <t>ABK00251</t>
  </si>
  <si>
    <t>ABK00270</t>
  </si>
  <si>
    <t>ABK00074</t>
  </si>
  <si>
    <t>ABK00113</t>
  </si>
  <si>
    <t>ABK00022</t>
  </si>
  <si>
    <t>ABK00079</t>
  </si>
  <si>
    <t>ABK00199</t>
  </si>
  <si>
    <t>ABK00266</t>
  </si>
  <si>
    <t>ABK00129</t>
  </si>
  <si>
    <t>ABK00272</t>
  </si>
  <si>
    <t>ABK00228</t>
  </si>
  <si>
    <t>ABK00073</t>
  </si>
  <si>
    <t>ABK00002</t>
  </si>
  <si>
    <t>ABK00128</t>
  </si>
  <si>
    <t>ABK00177</t>
  </si>
  <si>
    <t>ABK00183</t>
  </si>
  <si>
    <t>ABK00204</t>
  </si>
  <si>
    <t>ABK00019</t>
  </si>
  <si>
    <t>ABK00195</t>
  </si>
  <si>
    <t>ABK00039</t>
  </si>
  <si>
    <t>ABK00021</t>
  </si>
  <si>
    <t>ABK00207</t>
  </si>
  <si>
    <t>ABK00077</t>
  </si>
  <si>
    <t>ABK00290</t>
  </si>
  <si>
    <t>ABK00091</t>
  </si>
  <si>
    <t>ABK00107</t>
  </si>
  <si>
    <t>ABK00262</t>
  </si>
  <si>
    <t>ABK00148</t>
  </si>
  <si>
    <t>ABK00114</t>
  </si>
  <si>
    <t>ABK00172</t>
  </si>
  <si>
    <t>ABK00211</t>
  </si>
  <si>
    <t>ABK00275</t>
  </si>
  <si>
    <t>ABK00217</t>
  </si>
  <si>
    <t>ABK00167</t>
  </si>
  <si>
    <t>ABK00185</t>
  </si>
  <si>
    <t>ABK00197</t>
  </si>
  <si>
    <t>ABK00194</t>
  </si>
  <si>
    <t>ABK00034</t>
  </si>
  <si>
    <t>ABK00065</t>
  </si>
  <si>
    <t>ABK00174</t>
  </si>
  <si>
    <t>ABK00225</t>
  </si>
  <si>
    <t>ABK00287</t>
  </si>
  <si>
    <t>ABK00135</t>
  </si>
  <si>
    <t>ABK00068</t>
  </si>
  <si>
    <t>ABK00273</t>
  </si>
  <si>
    <t>ABK00031</t>
  </si>
  <si>
    <t>ABK00247</t>
  </si>
  <si>
    <t>ABK00013</t>
  </si>
  <si>
    <t>ABK00170</t>
  </si>
  <si>
    <t>ABK00220</t>
  </si>
  <si>
    <t>ABK00134</t>
  </si>
  <si>
    <t>ABK00277</t>
  </si>
  <si>
    <t>ABK00084</t>
  </si>
  <si>
    <t>ABK00088</t>
  </si>
  <si>
    <t>ABK00010</t>
  </si>
  <si>
    <t>ABK00125</t>
  </si>
  <si>
    <t>ABK00040</t>
  </si>
  <si>
    <t>ABK00020</t>
  </si>
  <si>
    <t>ABK00118</t>
  </si>
  <si>
    <t>ABK00105</t>
  </si>
  <si>
    <t>ABK00200</t>
  </si>
  <si>
    <t>ABK00165</t>
  </si>
  <si>
    <t>ABK00124</t>
  </si>
  <si>
    <t>ABK00043</t>
  </si>
  <si>
    <t>ABK00097</t>
  </si>
  <si>
    <t>ABK00291</t>
  </si>
  <si>
    <t>ABK00090</t>
  </si>
  <si>
    <t>ABK00153</t>
  </si>
  <si>
    <t>ABK00149</t>
  </si>
  <si>
    <t>ABK00261</t>
  </si>
  <si>
    <t>ABK00241</t>
  </si>
  <si>
    <t>ABK00048</t>
  </si>
  <si>
    <t>ABK00263</t>
  </si>
  <si>
    <t>ABK00157</t>
  </si>
  <si>
    <t>ABK00145</t>
  </si>
  <si>
    <t>ABK00095</t>
  </si>
  <si>
    <t>ABK00094</t>
  </si>
  <si>
    <t>ABK00144</t>
  </si>
  <si>
    <t>ECONOMY</t>
  </si>
  <si>
    <t>ABK00235</t>
  </si>
  <si>
    <t>ABK00053</t>
  </si>
  <si>
    <t>ABK00012</t>
  </si>
  <si>
    <t>ABK00101</t>
  </si>
  <si>
    <t>ABK00023</t>
  </si>
  <si>
    <t>ABK00260</t>
  </si>
  <si>
    <t>ABK00140</t>
  </si>
  <si>
    <t>ABK00008</t>
  </si>
  <si>
    <t>ABK00244</t>
  </si>
  <si>
    <t>ABK00191</t>
  </si>
  <si>
    <t>ABK00231</t>
  </si>
  <si>
    <t>ABK00120</t>
  </si>
  <si>
    <t>ABK00238</t>
  </si>
  <si>
    <t>ABK00086</t>
  </si>
  <si>
    <t>ABK00035</t>
  </si>
  <si>
    <t>ABK00281</t>
  </si>
  <si>
    <t>ABK00028</t>
  </si>
  <si>
    <t>ABK00223</t>
  </si>
  <si>
    <t>ABK00227</t>
  </si>
  <si>
    <t>ABK00106</t>
  </si>
  <si>
    <t>ABK00096</t>
  </si>
  <si>
    <t>ABK00062</t>
  </si>
  <si>
    <t>ABK00052</t>
  </si>
  <si>
    <t>ABK00156</t>
  </si>
  <si>
    <t>ABK00151</t>
  </si>
  <si>
    <t>ABK00161</t>
  </si>
  <si>
    <t>ABK00111</t>
  </si>
  <si>
    <t>ABK00061</t>
  </si>
  <si>
    <t>ABK00276</t>
  </si>
  <si>
    <t>ABK00015</t>
  </si>
  <si>
    <t>ABK00285</t>
  </si>
  <si>
    <t>ABK00050</t>
  </si>
  <si>
    <t>ABK00173</t>
  </si>
  <si>
    <t>ABK00078</t>
  </si>
  <si>
    <t>ABK00017</t>
  </si>
  <si>
    <t>ABK00082</t>
  </si>
  <si>
    <t>ABK00067</t>
  </si>
  <si>
    <t>ABK00071</t>
  </si>
  <si>
    <t>ABK00243</t>
  </si>
  <si>
    <t>ABK00027</t>
  </si>
  <si>
    <t>ABK00218</t>
  </si>
  <si>
    <t>ABK00119</t>
  </si>
  <si>
    <t>ABK00098</t>
  </si>
  <si>
    <t>ABK00205</t>
  </si>
  <si>
    <t>ABK00123</t>
  </si>
  <si>
    <t>ABK00054</t>
  </si>
  <si>
    <t>ABK00198</t>
  </si>
  <si>
    <t>ABK00182</t>
  </si>
  <si>
    <t>ABK00130</t>
  </si>
  <si>
    <t>ABK00271</t>
  </si>
  <si>
    <t>ABK00292</t>
  </si>
  <si>
    <t>ABK00108</t>
  </si>
  <si>
    <t>ABK00131</t>
  </si>
  <si>
    <t>ABK00269</t>
  </si>
  <si>
    <t>ABK00176</t>
  </si>
  <si>
    <t>ABK00284</t>
  </si>
  <si>
    <t>ABK00253</t>
  </si>
  <si>
    <t>ABK00178</t>
  </si>
  <si>
    <t>ABK00059</t>
  </si>
  <si>
    <t>ABK00009</t>
  </si>
  <si>
    <t>ABK00250</t>
  </si>
  <si>
    <t>ABK00213</t>
  </si>
  <si>
    <t>ABK00141</t>
  </si>
  <si>
    <t>ABK00109</t>
  </si>
  <si>
    <t>ABK00286</t>
  </si>
  <si>
    <t>ABK00154</t>
  </si>
  <si>
    <t>ABK00042</t>
  </si>
  <si>
    <t>ABK00110</t>
  </si>
  <si>
    <t>ABK00011</t>
  </si>
  <si>
    <t>ABK00100</t>
  </si>
  <si>
    <t>ABK00104</t>
  </si>
  <si>
    <t>ABK00252</t>
  </si>
  <si>
    <t>ABK00085</t>
  </si>
  <si>
    <t>ABK00093</t>
  </si>
  <si>
    <t>ABK00163</t>
  </si>
  <si>
    <t>ABK00018</t>
  </si>
  <si>
    <t>ABK00038</t>
  </si>
  <si>
    <t>ABK00132</t>
  </si>
  <si>
    <t>ABK00142</t>
  </si>
  <si>
    <t>ABK00239</t>
  </si>
  <si>
    <t>ABK00232</t>
  </si>
  <si>
    <t>ABK00203</t>
  </si>
  <si>
    <t>ABK00180</t>
  </si>
  <si>
    <t>ABK00226</t>
  </si>
  <si>
    <t>ABK00099</t>
  </si>
  <si>
    <t>ABK00267</t>
  </si>
  <si>
    <t>ABK00127</t>
  </si>
  <si>
    <t>ABK00189</t>
  </si>
  <si>
    <t>ABK00072</t>
  </si>
  <si>
    <t>ABK00208</t>
  </si>
  <si>
    <t>ABK00057</t>
  </si>
  <si>
    <t>Precenger_type clean</t>
  </si>
  <si>
    <t>Traval_class clean</t>
  </si>
  <si>
    <t>Booking_stustus clean</t>
  </si>
  <si>
    <t>ROUTE_CLEAN</t>
  </si>
  <si>
    <t>bookin_id clean</t>
  </si>
  <si>
    <t>TOTAL_revenue</t>
  </si>
  <si>
    <t>avarge_ticket_price</t>
  </si>
  <si>
    <t>total_booking</t>
  </si>
  <si>
    <t>minumun price</t>
  </si>
  <si>
    <t>max_price</t>
  </si>
  <si>
    <t>SUMIF (Confirmed Revenue</t>
  </si>
  <si>
    <t>AVERAGEIF (Business )</t>
  </si>
  <si>
    <t>Row Labels</t>
  </si>
  <si>
    <t>Grand Total</t>
  </si>
  <si>
    <t>Sum of Ticket_Price</t>
  </si>
  <si>
    <t>Column Labels</t>
  </si>
  <si>
    <t>2025</t>
  </si>
  <si>
    <t>2026</t>
  </si>
  <si>
    <t>(All)</t>
  </si>
  <si>
    <t>KPIS</t>
  </si>
  <si>
    <t>total revenue</t>
  </si>
  <si>
    <t>total booking</t>
  </si>
  <si>
    <t xml:space="preserve"> avarge fare</t>
  </si>
  <si>
    <t>Count of bookin_id clean</t>
  </si>
  <si>
    <t>PROJECT FINDINGS &amp; RECOMMENDATIONS.</t>
  </si>
  <si>
    <t>5 KEY FINDINGS</t>
  </si>
  <si>
    <r>
      <t>1. Top Revenue Driver:</t>
    </r>
    <r>
      <rPr>
        <sz val="11"/>
        <color theme="1"/>
        <rFont val="Arial"/>
        <family val="2"/>
      </rPr>
      <t xml:space="preserve"> Mogadishu-Nairobi (</t>
    </r>
    <r>
      <rPr>
        <sz val="10"/>
        <color theme="1"/>
        <rFont val="Google Sans Text"/>
        <family val="2"/>
      </rPr>
      <t>MGQ-NBO</t>
    </r>
    <r>
      <rPr>
        <sz val="11"/>
        <color theme="1"/>
        <rFont val="Arial"/>
        <family val="2"/>
      </rPr>
      <t xml:space="preserve">) generated the highest revenue at </t>
    </r>
    <r>
      <rPr>
        <b/>
        <sz val="11"/>
        <color theme="1"/>
        <rFont val="Arial"/>
        <family val="2"/>
      </rPr>
      <t>$22,331.80</t>
    </r>
    <r>
      <rPr>
        <sz val="11"/>
        <color theme="1"/>
        <rFont val="Arial"/>
        <family val="2"/>
      </rPr>
      <t>.</t>
    </r>
  </si>
  <si>
    <t>2. Second Highest Route: Mogadishu-Addis Ababa (MGQ-ADD) generated $15,504.33 with the highest average price ($267.32).</t>
  </si>
  <si>
    <r>
      <t>3. High Business Class Yield:</t>
    </r>
    <r>
      <rPr>
        <sz val="11"/>
        <color theme="1"/>
        <rFont val="Calibri"/>
        <family val="2"/>
        <scheme val="minor"/>
      </rPr>
      <t xml:space="preserve"> Business Class average price is </t>
    </r>
    <r>
      <rPr>
        <b/>
        <sz val="11"/>
        <color theme="1"/>
        <rFont val="Calibri"/>
        <family val="2"/>
        <scheme val="minor"/>
      </rPr>
      <t>$318.42</t>
    </r>
    <r>
      <rPr>
        <sz val="11"/>
        <color theme="1"/>
        <rFont val="Calibri"/>
        <family val="2"/>
        <scheme val="minor"/>
      </rPr>
      <t xml:space="preserve"> vs Economy Class at </t>
    </r>
    <r>
      <rPr>
        <b/>
        <sz val="11"/>
        <color theme="1"/>
        <rFont val="Calibri"/>
        <family val="2"/>
        <scheme val="minor"/>
      </rPr>
      <t>$178.17</t>
    </r>
  </si>
  <si>
    <t>4. Completed Bookings Rate: 159 out of 292 bookings (54.45%) were completed successfully ($30,899.44)</t>
  </si>
  <si>
    <r>
      <t>5. Cancellations &amp; Missing Data:</t>
    </r>
    <r>
      <rPr>
        <sz val="11"/>
        <color theme="1"/>
        <rFont val="Calibri"/>
        <family val="2"/>
        <scheme val="minor"/>
      </rPr>
      <t xml:space="preserve"> 30 bookings were cancelled ($5,899.04) and 17 routes lacked destination codes (</t>
    </r>
    <r>
      <rPr>
        <sz val="10"/>
        <color theme="1"/>
        <rFont val="Arial Unicode MS"/>
      </rPr>
      <t>UNKNOWN</t>
    </r>
    <r>
      <rPr>
        <sz val="11"/>
        <color theme="1"/>
        <rFont val="Calibri"/>
        <family val="2"/>
        <scheme val="minor"/>
      </rPr>
      <t>).</t>
    </r>
  </si>
  <si>
    <t>3 STRATEGIC RECOMMENDATIONS</t>
  </si>
  <si>
    <r>
      <t>1. Fleet Expansion:</t>
    </r>
    <r>
      <rPr>
        <sz val="11"/>
        <color theme="1"/>
        <rFont val="Calibri"/>
        <family val="2"/>
        <scheme val="minor"/>
      </rPr>
      <t xml:space="preserve"> Increase flight capacity and frequencies on high-demand routes (</t>
    </r>
    <r>
      <rPr>
        <sz val="10"/>
        <color theme="1"/>
        <rFont val="Arial Unicode MS"/>
      </rPr>
      <t>MGQ-NBO</t>
    </r>
    <r>
      <rPr>
        <sz val="11"/>
        <color theme="1"/>
        <rFont val="Calibri"/>
        <family val="2"/>
        <scheme val="minor"/>
      </rPr>
      <t xml:space="preserve"> &amp; </t>
    </r>
    <r>
      <rPr>
        <sz val="10"/>
        <color theme="1"/>
        <rFont val="Arial Unicode MS"/>
      </rPr>
      <t>MGQ-ADD</t>
    </r>
    <r>
      <rPr>
        <sz val="11"/>
        <color theme="1"/>
        <rFont val="Calibri"/>
        <family val="2"/>
        <scheme val="minor"/>
      </rPr>
      <t>)</t>
    </r>
  </si>
  <si>
    <r>
      <t>3. Minimize Cancellations &amp; Fix Data Entry:</t>
    </r>
    <r>
      <rPr>
        <sz val="11"/>
        <color theme="1"/>
        <rFont val="Calibri"/>
        <family val="2"/>
        <scheme val="minor"/>
      </rPr>
      <t xml:space="preserve"> Implement automated customer reminders to reduce cancellations and enforce strict data entry validation at ticketing counters</t>
    </r>
  </si>
  <si>
    <t>2. Target Corporate Travelers: Promote Business Class upgrades and loyalty packages to boost higher-margin sales</t>
  </si>
  <si>
    <t>complation booking</t>
  </si>
  <si>
    <t>Total revenue</t>
  </si>
  <si>
    <t>Total booking</t>
  </si>
  <si>
    <t xml:space="preserve"> Avarge fare</t>
  </si>
  <si>
    <t>Complation booking</t>
  </si>
  <si>
    <r>
      <t xml:space="preserve"> </t>
    </r>
    <r>
      <rPr>
        <b/>
        <sz val="14"/>
        <color theme="1"/>
        <rFont val="Calibri"/>
        <family val="2"/>
        <scheme val="minor"/>
      </rPr>
      <t>Avarge fare</t>
    </r>
  </si>
  <si>
    <t xml:space="preserve">AVARGE </t>
  </si>
  <si>
    <r>
      <t>Flight_Date:</t>
    </r>
    <r>
      <rPr>
        <sz val="11"/>
        <color theme="1"/>
        <rFont val="Calibri"/>
        <family val="2"/>
        <scheme val="minor"/>
      </rPr>
      <t xml:space="preserve"> </t>
    </r>
  </si>
  <si>
    <r>
      <t>Booking_Status:</t>
    </r>
    <r>
      <rPr>
        <sz val="11"/>
        <color theme="1"/>
        <rFont val="Calibri"/>
        <family val="2"/>
        <scheme val="minor"/>
      </rPr>
      <t xml:space="preserve"> </t>
    </r>
  </si>
  <si>
    <r>
      <t>Travel_Class:</t>
    </r>
    <r>
      <rPr>
        <sz val="11"/>
        <color theme="1"/>
        <rFont val="Calibri"/>
        <family val="2"/>
        <scheme val="minor"/>
      </rPr>
      <t xml:space="preserve"> </t>
    </r>
  </si>
  <si>
    <r>
      <t>Passenger_Type:</t>
    </r>
    <r>
      <rPr>
        <sz val="11"/>
        <color theme="1"/>
        <rFont val="Calibri"/>
        <family val="2"/>
        <scheme val="minor"/>
      </rPr>
      <t xml:space="preserve"> </t>
    </r>
  </si>
  <si>
    <r>
      <t>Booking_ID:</t>
    </r>
    <r>
      <rPr>
        <sz val="11"/>
        <color theme="1"/>
        <rFont val="Calibri"/>
        <family val="2"/>
        <scheme val="minor"/>
      </rPr>
      <t xml:space="preserve"> </t>
    </r>
  </si>
  <si>
    <t>route</t>
  </si>
  <si>
    <t>Tiket_price</t>
  </si>
  <si>
    <t>misiing value total</t>
  </si>
  <si>
    <t>Average Ticket Price by Route &amp; Travel Class</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</si>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</sst>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quot;$&quot;#,##0.00_);[Red]\(&quot;$&quot;#,##0.00\)"/>
    <numFmt numFmtId="164" formatCode="yyyy\-mm\-dd"/>
    <numFmt numFmtId="165" formatCode="\$#,##0.00"/>
    <numFmt numFmtId="166" formatCode="&quot;$&quot;#,##0.00"/>
  </numFmts>
  <fonts count="13">
    <font>
      <sz val="11"/>
      <color theme="1"/>
      <name val="Calibri"/>
      <family val="2"/>
      <scheme val="minor"/>
    </font>
    <font>
      <b/>
      <sz val="11"/>
      <name val="Carlito"/>
    </font>
    <font>
      <b/>
      <sz val="12"/>
      <name val="Carlito"/>
    </font>
    <font>
      <sz val="11"/>
      <color theme="5"/>
      <name val="Calibri"/>
      <family val="2"/>
      <scheme val="minor"/>
    </font>
    <font>
      <sz val="12"/>
      <color theme="1"/>
      <name val="Calibri"/>
      <family val="2"/>
      <scheme val="minor"/>
    </font>
    <font>
      <b/>
      <sz val="11"/>
      <color theme="1"/>
      <name val="Calibri"/>
      <family val="2"/>
      <scheme val="minor"/>
    </font>
    <font>
      <sz val="11"/>
      <color theme="0"/>
      <name val="Calibri"/>
      <family val="2"/>
      <scheme val="minor"/>
    </font>
    <font>
      <sz val="10"/>
      <color theme="1"/>
      <name val="Arial Unicode MS"/>
    </font>
    <font>
      <sz val="11"/>
      <color theme="1"/>
      <name val="Arial"/>
      <family val="2"/>
    </font>
    <font>
      <sz val="10"/>
      <color theme="1"/>
      <name val="Google Sans Text"/>
      <family val="2"/>
    </font>
    <font>
      <b/>
      <sz val="11"/>
      <color theme="1"/>
      <name val="Arial"/>
      <family val="2"/>
    </font>
    <font>
      <b/>
      <sz val="14"/>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D9EAF7"/>
      </patternFill>
    </fill>
    <fill>
      <patternFill patternType="solid">
        <fgColor rgb="FFD9EAF7"/>
        <bgColor indexed="64"/>
      </patternFill>
    </fill>
    <fill>
      <patternFill patternType="solid">
        <fgColor theme="0"/>
        <bgColor indexed="64"/>
      </patternFill>
    </fill>
    <fill>
      <patternFill patternType="solid">
        <fgColor theme="4"/>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64" fontId="0" fillId="0" borderId="0" xfId="0" applyNumberFormat="1"/>
    <xf numFmtId="165" fontId="0" fillId="0" borderId="0" xfId="0" applyNumberFormat="1"/>
    <xf numFmtId="14" fontId="1" fillId="2" borderId="0" xfId="0" applyNumberFormat="1" applyFont="1" applyFill="1" applyAlignment="1">
      <alignment horizontal="center" vertical="center"/>
    </xf>
    <xf numFmtId="14" fontId="0" fillId="0" borderId="0" xfId="0" applyNumberFormat="1"/>
    <xf numFmtId="166" fontId="1" fillId="2" borderId="0" xfId="0" applyNumberFormat="1" applyFont="1" applyFill="1" applyAlignment="1">
      <alignment horizontal="center" vertical="center"/>
    </xf>
    <xf numFmtId="166" fontId="0" fillId="0" borderId="0" xfId="0" applyNumberFormat="1"/>
    <xf numFmtId="0" fontId="1" fillId="3" borderId="0" xfId="0" applyFont="1" applyFill="1" applyAlignment="1">
      <alignment horizontal="center" vertical="center"/>
    </xf>
    <xf numFmtId="0" fontId="2" fillId="3" borderId="0" xfId="0" applyFont="1" applyFill="1" applyAlignment="1">
      <alignment horizontal="center" vertical="center"/>
    </xf>
    <xf numFmtId="0" fontId="0" fillId="0" borderId="0" xfId="0" applyNumberFormat="1"/>
    <xf numFmtId="0" fontId="3" fillId="0" borderId="0" xfId="0" applyFont="1"/>
    <xf numFmtId="0" fontId="0" fillId="0" borderId="0" xfId="0" pivotButton="1"/>
    <xf numFmtId="0" fontId="0" fillId="0" borderId="0" xfId="0" applyAlignment="1">
      <alignment horizontal="left"/>
    </xf>
    <xf numFmtId="0" fontId="4" fillId="0" borderId="0" xfId="0" applyFont="1"/>
    <xf numFmtId="0" fontId="0" fillId="4" borderId="0" xfId="0" applyFill="1"/>
    <xf numFmtId="0" fontId="0" fillId="5" borderId="0" xfId="0" applyFill="1"/>
    <xf numFmtId="2" fontId="0" fillId="0" borderId="0" xfId="0" applyNumberFormat="1"/>
    <xf numFmtId="0" fontId="6" fillId="5" borderId="0" xfId="0" applyFont="1" applyFill="1"/>
    <xf numFmtId="8" fontId="0" fillId="0" borderId="0" xfId="0" applyNumberFormat="1"/>
    <xf numFmtId="0" fontId="7" fillId="0" borderId="0" xfId="0" applyFont="1"/>
    <xf numFmtId="0" fontId="9" fillId="0" borderId="0" xfId="0" applyFont="1"/>
    <xf numFmtId="0" fontId="11" fillId="4" borderId="0" xfId="0" applyFont="1" applyFill="1"/>
    <xf numFmtId="0" fontId="12" fillId="4" borderId="0" xfId="0" applyFont="1" applyFill="1"/>
    <xf numFmtId="0" fontId="0" fillId="6" borderId="0" xfId="0" applyFont="1" applyFill="1"/>
    <xf numFmtId="0" fontId="5" fillId="0" borderId="0" xfId="0" applyFont="1"/>
  </cellXfs>
  <cellStyles count="1">
    <cellStyle name="Normal" xfId="0" builtinId="0"/>
  </cellStyles>
  <dxfs count="16">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66" formatCode="&quot;$&quot;#,##0.00"/>
    </dxf>
    <dxf>
      <numFmt numFmtId="166" formatCode="&quot;$&quot;#,##0.00"/>
    </dxf>
    <dxf>
      <numFmt numFmtId="19" formatCode="m/d/yyyy"/>
    </dxf>
    <dxf>
      <numFmt numFmtId="19" formatCode="m/d/yyyy"/>
    </dxf>
    <dxf>
      <font>
        <b/>
        <i val="0"/>
        <strike val="0"/>
        <condense val="0"/>
        <extend val="0"/>
        <outline val="0"/>
        <shadow val="0"/>
        <u val="none"/>
        <vertAlign val="baseline"/>
        <sz val="11"/>
        <color auto="1"/>
        <name val="Carlito"/>
        <scheme val="none"/>
      </font>
      <fill>
        <patternFill patternType="solid">
          <fgColor indexed="64"/>
          <bgColor rgb="FFD9EAF7"/>
        </patternFill>
      </fill>
      <alignment horizontal="center" vertical="center" textRotation="0" wrapText="0" indent="0" justifyLastLine="0" shrinkToFit="0" readingOrder="0"/>
    </dxf>
  </dxfs>
  <tableStyles count="0" defaultTableStyle="TableStyleMedium2" defaultPivotStyle="PivotStyleLight16"/>
  <colors>
    <mruColors>
      <color rgb="FFD04E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[airline project.xlsx]pivot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Route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solidFill>
              <a:schemeClr val="accent4"/>
            </a:solidFill>
            <a:ln>
              <a:noFill/>
            </a:ln>
            <a:effectLst/>
          </c:spPr>
          <c:invertIfNegative val="0"/>
          <c:dLbls>
            <c:delete val="1"/>
          </c:dLbls>
          <c:cat>
            <c:strRef>
              <c:f>'pivot tables'!$A$4:$A$10</c:f>
              <c:strCache>
                <c:ptCount val="6"/>
                <c:pt idx="0">
                  <c:v>MGQ-ADD</c:v>
                </c:pt>
                <c:pt idx="1">
                  <c:v>MGQ-BSA</c:v>
                </c:pt>
                <c:pt idx="2">
                  <c:v>MGQ-HGA</c:v>
                </c:pt>
                <c:pt idx="3">
                  <c:v>MGQ-KMU</c:v>
                </c:pt>
                <c:pt idx="4">
                  <c:v>MGQ-NBO</c:v>
                </c:pt>
                <c:pt idx="5">
                  <c:v>UNKNOWN</c:v>
                </c:pt>
              </c:strCache>
            </c:strRef>
          </c:cat>
          <c:val>
            <c:numRef>
              <c:f>'pivot tables'!$B$4:$B$10</c:f>
              <c:numCache>
                <c:formatCode>General</c:formatCode>
                <c:ptCount val="6"/>
                <c:pt idx="0">
                  <c:v>2084.58</c:v>
                </c:pt>
                <c:pt idx="1">
                  <c:v>1054.18</c:v>
                </c:pt>
                <c:pt idx="2">
                  <c:v>1996.92</c:v>
                </c:pt>
                <c:pt idx="3">
                  <c:v>767.98</c:v>
                </c:pt>
                <c:pt idx="4">
                  <c:v>7623.49</c:v>
                </c:pt>
                <c:pt idx="5">
                  <c:v>801.7299999999999</c:v>
                </c:pt>
              </c:numCache>
            </c:numRef>
          </c:val>
          <c:extLst>
            <c:ext xmlns:c16="http://schemas.microsoft.com/office/drawing/2014/chart" uri="{C3380CC4-5D6E-409C-BE32-E72D297353CC}">
              <c16:uniqueId val="{00000000-FFE2-4B89-AAF6-A7716322F8C5}"/>
            </c:ext>
          </c:extLst>
        </c:ser>
        <c:dLbls>
          <c:dLblPos val="outEnd"/>
          <c:showLegendKey val="0"/>
          <c:showVal val="1"/>
          <c:showCatName val="0"/>
          <c:showSerName val="0"/>
          <c:showPercent val="0"/>
          <c:showBubbleSize val="0"/>
        </c:dLbls>
        <c:gapWidth val="219"/>
        <c:overlap val="-27"/>
        <c:axId val="700422464"/>
        <c:axId val="700424544"/>
      </c:barChart>
      <c:catAx>
        <c:axId val="70042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24544"/>
        <c:crosses val="autoZero"/>
        <c:auto val="1"/>
        <c:lblAlgn val="ctr"/>
        <c:lblOffset val="100"/>
        <c:noMultiLvlLbl val="0"/>
      </c:catAx>
      <c:valAx>
        <c:axId val="70042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22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project.xlsx]pivot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Booking</a:t>
            </a:r>
            <a:r>
              <a:rPr lang="en-US" b="1" baseline="0"/>
              <a:t> Status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 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54-49AB-9BB4-DE83E7B7BF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54-49AB-9BB4-DE83E7B7BF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54-49AB-9BB4-DE83E7B7BF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54-49AB-9BB4-DE83E7B7BF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tables'!$A$15:$A$19</c:f>
              <c:strCache>
                <c:ptCount val="4"/>
                <c:pt idx="0">
                  <c:v>Cancelled</c:v>
                </c:pt>
                <c:pt idx="1">
                  <c:v>Completed</c:v>
                </c:pt>
                <c:pt idx="2">
                  <c:v>Confirmed</c:v>
                </c:pt>
                <c:pt idx="3">
                  <c:v>Unknown</c:v>
                </c:pt>
              </c:strCache>
            </c:strRef>
          </c:cat>
          <c:val>
            <c:numRef>
              <c:f>'pivot tables'!$B$15:$B$19</c:f>
              <c:numCache>
                <c:formatCode>General</c:formatCode>
                <c:ptCount val="4"/>
                <c:pt idx="0">
                  <c:v>8</c:v>
                </c:pt>
                <c:pt idx="1">
                  <c:v>20</c:v>
                </c:pt>
                <c:pt idx="2">
                  <c:v>13</c:v>
                </c:pt>
                <c:pt idx="3">
                  <c:v>4</c:v>
                </c:pt>
              </c:numCache>
            </c:numRef>
          </c:val>
          <c:extLst>
            <c:ext xmlns:c16="http://schemas.microsoft.com/office/drawing/2014/chart" uri="{C3380CC4-5D6E-409C-BE32-E72D297353CC}">
              <c16:uniqueId val="{00000008-9B54-49AB-9BB4-DE83E7B7BF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[airline project.xlsx]pivot tables!PivotTable3</c:name>
    <c:fmtId val="5"/>
  </c:pivotSource>
  <c:chart>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pivotFmt>
      <c:pivotFmt>
        <c:idx val="14"/>
        <c:spPr>
          <a:solidFill>
            <a:schemeClr val="accent4"/>
          </a:solidFill>
          <a:ln>
            <a:noFill/>
          </a:ln>
          <a:effectLst/>
        </c:spPr>
        <c:marker>
          <c:symbol val="none"/>
        </c:marker>
      </c:pivotFmt>
      <c:pivotFmt>
        <c:idx val="15"/>
        <c:spPr>
          <a:solidFill>
            <a:schemeClr val="accent4"/>
          </a:solidFill>
          <a:ln>
            <a:noFill/>
          </a:ln>
          <a:effectLst/>
        </c:spPr>
        <c:marker>
          <c:symbol val="none"/>
        </c:marker>
      </c:pivotFmt>
      <c:pivotFmt>
        <c:idx val="16"/>
        <c:spPr>
          <a:solidFill>
            <a:schemeClr val="accent4"/>
          </a:solidFill>
          <a:ln>
            <a:noFill/>
          </a:ln>
          <a:effectLst/>
        </c:spPr>
        <c:marker>
          <c:symbol val="none"/>
        </c:marker>
      </c:pivotFmt>
    </c:pivotFmts>
    <c:plotArea>
      <c:layout/>
      <c:barChart>
        <c:barDir val="bar"/>
        <c:grouping val="stacked"/>
        <c:varyColors val="0"/>
        <c:ser>
          <c:idx val="0"/>
          <c:order val="0"/>
          <c:tx>
            <c:strRef>
              <c:f>'pivot tables'!$B$23:$B$24</c:f>
              <c:strCache>
                <c:ptCount val="1"/>
                <c:pt idx="0">
                  <c:v>Adult</c:v>
                </c:pt>
              </c:strCache>
            </c:strRef>
          </c:tx>
          <c:spPr>
            <a:solidFill>
              <a:schemeClr val="accent4">
                <a:shade val="65000"/>
              </a:schemeClr>
            </a:solidFill>
            <a:ln>
              <a:noFill/>
            </a:ln>
            <a:effectLst/>
          </c:spPr>
          <c:invertIfNegative val="0"/>
          <c:cat>
            <c:strRef>
              <c:f>'pivot tables'!$A$25:$A$26</c:f>
              <c:strCache>
                <c:ptCount val="1"/>
                <c:pt idx="0">
                  <c:v>Business</c:v>
                </c:pt>
              </c:strCache>
            </c:strRef>
          </c:cat>
          <c:val>
            <c:numRef>
              <c:f>'pivot tables'!$B$25:$B$26</c:f>
              <c:numCache>
                <c:formatCode>General</c:formatCode>
                <c:ptCount val="1"/>
                <c:pt idx="0">
                  <c:v>11551.900000000001</c:v>
                </c:pt>
              </c:numCache>
            </c:numRef>
          </c:val>
          <c:extLst>
            <c:ext xmlns:c16="http://schemas.microsoft.com/office/drawing/2014/chart" uri="{C3380CC4-5D6E-409C-BE32-E72D297353CC}">
              <c16:uniqueId val="{00000000-7A2E-4A32-A770-A62118897865}"/>
            </c:ext>
          </c:extLst>
        </c:ser>
        <c:ser>
          <c:idx val="1"/>
          <c:order val="1"/>
          <c:tx>
            <c:strRef>
              <c:f>'pivot tables'!$C$23:$C$24</c:f>
              <c:strCache>
                <c:ptCount val="1"/>
                <c:pt idx="0">
                  <c:v>Child</c:v>
                </c:pt>
              </c:strCache>
            </c:strRef>
          </c:tx>
          <c:spPr>
            <a:solidFill>
              <a:schemeClr val="accent4"/>
            </a:solidFill>
            <a:ln>
              <a:noFill/>
            </a:ln>
            <a:effectLst/>
          </c:spPr>
          <c:invertIfNegative val="0"/>
          <c:cat>
            <c:strRef>
              <c:f>'pivot tables'!$A$25:$A$26</c:f>
              <c:strCache>
                <c:ptCount val="1"/>
                <c:pt idx="0">
                  <c:v>Business</c:v>
                </c:pt>
              </c:strCache>
            </c:strRef>
          </c:cat>
          <c:val>
            <c:numRef>
              <c:f>'pivot tables'!$C$25:$C$26</c:f>
              <c:numCache>
                <c:formatCode>General</c:formatCode>
                <c:ptCount val="1"/>
                <c:pt idx="0">
                  <c:v>1639.26</c:v>
                </c:pt>
              </c:numCache>
            </c:numRef>
          </c:val>
          <c:extLst>
            <c:ext xmlns:c16="http://schemas.microsoft.com/office/drawing/2014/chart" uri="{C3380CC4-5D6E-409C-BE32-E72D297353CC}">
              <c16:uniqueId val="{00000001-7A2E-4A32-A770-A62118897865}"/>
            </c:ext>
          </c:extLst>
        </c:ser>
        <c:ser>
          <c:idx val="2"/>
          <c:order val="2"/>
          <c:tx>
            <c:strRef>
              <c:f>'pivot tables'!$D$23:$D$24</c:f>
              <c:strCache>
                <c:ptCount val="1"/>
                <c:pt idx="0">
                  <c:v>Unknown</c:v>
                </c:pt>
              </c:strCache>
            </c:strRef>
          </c:tx>
          <c:spPr>
            <a:solidFill>
              <a:schemeClr val="accent4">
                <a:tint val="65000"/>
              </a:schemeClr>
            </a:solidFill>
            <a:ln>
              <a:noFill/>
            </a:ln>
            <a:effectLst/>
          </c:spPr>
          <c:invertIfNegative val="0"/>
          <c:cat>
            <c:strRef>
              <c:f>'pivot tables'!$A$25:$A$26</c:f>
              <c:strCache>
                <c:ptCount val="1"/>
                <c:pt idx="0">
                  <c:v>Business</c:v>
                </c:pt>
              </c:strCache>
            </c:strRef>
          </c:cat>
          <c:val>
            <c:numRef>
              <c:f>'pivot tables'!$D$25:$D$26</c:f>
              <c:numCache>
                <c:formatCode>General</c:formatCode>
                <c:ptCount val="1"/>
                <c:pt idx="0">
                  <c:v>1137.72</c:v>
                </c:pt>
              </c:numCache>
            </c:numRef>
          </c:val>
          <c:extLst>
            <c:ext xmlns:c16="http://schemas.microsoft.com/office/drawing/2014/chart" uri="{C3380CC4-5D6E-409C-BE32-E72D297353CC}">
              <c16:uniqueId val="{00000002-7A2E-4A32-A770-A62118897865}"/>
            </c:ext>
          </c:extLst>
        </c:ser>
        <c:dLbls>
          <c:showLegendKey val="0"/>
          <c:showVal val="0"/>
          <c:showCatName val="0"/>
          <c:showSerName val="0"/>
          <c:showPercent val="0"/>
          <c:showBubbleSize val="0"/>
        </c:dLbls>
        <c:gapWidth val="150"/>
        <c:overlap val="100"/>
        <c:axId val="624822400"/>
        <c:axId val="624816160"/>
      </c:barChart>
      <c:catAx>
        <c:axId val="62482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16160"/>
        <c:crosses val="autoZero"/>
        <c:auto val="1"/>
        <c:lblAlgn val="ctr"/>
        <c:lblOffset val="100"/>
        <c:noMultiLvlLbl val="0"/>
      </c:catAx>
      <c:valAx>
        <c:axId val="62481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22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[airline project.xlsx]pivot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flight</a:t>
            </a:r>
            <a:r>
              <a:rPr lang="en-US" baseline="0"/>
              <a:t> date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tables'!$B$33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tables'!$A$34:$A$36</c:f>
              <c:strCache>
                <c:ptCount val="2"/>
                <c:pt idx="0">
                  <c:v>2025</c:v>
                </c:pt>
                <c:pt idx="1">
                  <c:v>2026</c:v>
                </c:pt>
              </c:strCache>
            </c:strRef>
          </c:cat>
          <c:val>
            <c:numRef>
              <c:f>'pivot tables'!$B$34:$B$36</c:f>
              <c:numCache>
                <c:formatCode>General</c:formatCode>
                <c:ptCount val="2"/>
                <c:pt idx="0">
                  <c:v>38</c:v>
                </c:pt>
                <c:pt idx="1">
                  <c:v>7</c:v>
                </c:pt>
              </c:numCache>
            </c:numRef>
          </c:val>
          <c:smooth val="0"/>
          <c:extLst>
            <c:ext xmlns:c16="http://schemas.microsoft.com/office/drawing/2014/chart" uri="{C3380CC4-5D6E-409C-BE32-E72D297353CC}">
              <c16:uniqueId val="{00000000-30C8-4C00-A5A5-80D4DF6B826A}"/>
            </c:ext>
          </c:extLst>
        </c:ser>
        <c:dLbls>
          <c:dLblPos val="t"/>
          <c:showLegendKey val="0"/>
          <c:showVal val="1"/>
          <c:showCatName val="0"/>
          <c:showSerName val="0"/>
          <c:showPercent val="0"/>
          <c:showBubbleSize val="0"/>
        </c:dLbls>
        <c:marker val="1"/>
        <c:smooth val="0"/>
        <c:axId val="709064080"/>
        <c:axId val="709061584"/>
      </c:lineChart>
      <c:catAx>
        <c:axId val="70906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61584"/>
        <c:crosses val="autoZero"/>
        <c:auto val="1"/>
        <c:lblAlgn val="ctr"/>
        <c:lblOffset val="100"/>
        <c:noMultiLvlLbl val="0"/>
      </c:catAx>
      <c:valAx>
        <c:axId val="70906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64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[airline project.xlsx]pivot tables!PivotTable1</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Revenue by Route</a:t>
            </a:r>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delete val="1"/>
          </c:dLbls>
          <c:cat>
            <c:strRef>
              <c:f>'pivot tables'!$A$4:$A$10</c:f>
              <c:strCache>
                <c:ptCount val="6"/>
                <c:pt idx="0">
                  <c:v>MGQ-ADD</c:v>
                </c:pt>
                <c:pt idx="1">
                  <c:v>MGQ-BSA</c:v>
                </c:pt>
                <c:pt idx="2">
                  <c:v>MGQ-HGA</c:v>
                </c:pt>
                <c:pt idx="3">
                  <c:v>MGQ-KMU</c:v>
                </c:pt>
                <c:pt idx="4">
                  <c:v>MGQ-NBO</c:v>
                </c:pt>
                <c:pt idx="5">
                  <c:v>UNKNOWN</c:v>
                </c:pt>
              </c:strCache>
            </c:strRef>
          </c:cat>
          <c:val>
            <c:numRef>
              <c:f>'pivot tables'!$B$4:$B$10</c:f>
              <c:numCache>
                <c:formatCode>General</c:formatCode>
                <c:ptCount val="6"/>
                <c:pt idx="0">
                  <c:v>2084.58</c:v>
                </c:pt>
                <c:pt idx="1">
                  <c:v>1054.18</c:v>
                </c:pt>
                <c:pt idx="2">
                  <c:v>1996.92</c:v>
                </c:pt>
                <c:pt idx="3">
                  <c:v>767.98</c:v>
                </c:pt>
                <c:pt idx="4">
                  <c:v>7623.49</c:v>
                </c:pt>
                <c:pt idx="5">
                  <c:v>801.7299999999999</c:v>
                </c:pt>
              </c:numCache>
            </c:numRef>
          </c:val>
          <c:extLst>
            <c:ext xmlns:c16="http://schemas.microsoft.com/office/drawing/2014/chart" uri="{C3380CC4-5D6E-409C-BE32-E72D297353CC}">
              <c16:uniqueId val="{00000000-03B4-4819-984F-4E6C1453C954}"/>
            </c:ext>
          </c:extLst>
        </c:ser>
        <c:dLbls>
          <c:dLblPos val="outEnd"/>
          <c:showLegendKey val="0"/>
          <c:showVal val="1"/>
          <c:showCatName val="0"/>
          <c:showSerName val="0"/>
          <c:showPercent val="0"/>
          <c:showBubbleSize val="0"/>
        </c:dLbls>
        <c:gapWidth val="164"/>
        <c:overlap val="-22"/>
        <c:axId val="700422464"/>
        <c:axId val="700424544"/>
      </c:barChart>
      <c:catAx>
        <c:axId val="70042246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24544"/>
        <c:crosses val="autoZero"/>
        <c:auto val="1"/>
        <c:lblAlgn val="ctr"/>
        <c:lblOffset val="100"/>
        <c:noMultiLvlLbl val="0"/>
      </c:catAx>
      <c:valAx>
        <c:axId val="70042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22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project.xlsx]pivot tables!PivotTable2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Booking Status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pieChart>
        <c:varyColors val="1"/>
        <c:ser>
          <c:idx val="0"/>
          <c:order val="0"/>
          <c:tx>
            <c:strRef>
              <c:f>'pivot tables'!$B$14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F3F5-4F2A-8266-D8576856083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F3F5-4F2A-8266-D8576856083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F3F5-4F2A-8266-D8576856083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F3F5-4F2A-8266-D8576856083D}"/>
              </c:ext>
            </c:extLst>
          </c:dPt>
          <c:dLbls>
            <c:delete val="1"/>
          </c:dLbls>
          <c:cat>
            <c:strRef>
              <c:f>'pivot tables'!$A$15:$A$19</c:f>
              <c:strCache>
                <c:ptCount val="4"/>
                <c:pt idx="0">
                  <c:v>Cancelled</c:v>
                </c:pt>
                <c:pt idx="1">
                  <c:v>Completed</c:v>
                </c:pt>
                <c:pt idx="2">
                  <c:v>Confirmed</c:v>
                </c:pt>
                <c:pt idx="3">
                  <c:v>Unknown</c:v>
                </c:pt>
              </c:strCache>
            </c:strRef>
          </c:cat>
          <c:val>
            <c:numRef>
              <c:f>'pivot tables'!$B$15:$B$19</c:f>
              <c:numCache>
                <c:formatCode>General</c:formatCode>
                <c:ptCount val="4"/>
                <c:pt idx="0">
                  <c:v>8</c:v>
                </c:pt>
                <c:pt idx="1">
                  <c:v>20</c:v>
                </c:pt>
                <c:pt idx="2">
                  <c:v>13</c:v>
                </c:pt>
                <c:pt idx="3">
                  <c:v>4</c:v>
                </c:pt>
              </c:numCache>
            </c:numRef>
          </c:val>
          <c:extLst>
            <c:ext xmlns:c16="http://schemas.microsoft.com/office/drawing/2014/chart" uri="{C3380CC4-5D6E-409C-BE32-E72D297353CC}">
              <c16:uniqueId val="{00000008-F3F5-4F2A-8266-D857685608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project.xlsx]pivot tables!PivotTable5</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tables'!$B$41:$B$42</c:f>
              <c:strCache>
                <c:ptCount val="1"/>
                <c:pt idx="0">
                  <c:v>Business</c:v>
                </c:pt>
              </c:strCache>
            </c:strRef>
          </c:tx>
          <c:spPr>
            <a:solidFill>
              <a:schemeClr val="accent1"/>
            </a:solidFill>
            <a:ln>
              <a:noFill/>
            </a:ln>
            <a:effectLst/>
          </c:spPr>
          <c:invertIfNegative val="0"/>
          <c:dLbls>
            <c:delete val="1"/>
          </c:dLbls>
          <c:cat>
            <c:strRef>
              <c:f>'pivot tables'!$A$43:$A$49</c:f>
              <c:strCache>
                <c:ptCount val="6"/>
                <c:pt idx="0">
                  <c:v>MGQ-ADD</c:v>
                </c:pt>
                <c:pt idx="1">
                  <c:v>MGQ-BSA</c:v>
                </c:pt>
                <c:pt idx="2">
                  <c:v>MGQ-HGA</c:v>
                </c:pt>
                <c:pt idx="3">
                  <c:v>MGQ-KMU</c:v>
                </c:pt>
                <c:pt idx="4">
                  <c:v>MGQ-NBO</c:v>
                </c:pt>
                <c:pt idx="5">
                  <c:v>UNKNOWN</c:v>
                </c:pt>
              </c:strCache>
            </c:strRef>
          </c:cat>
          <c:val>
            <c:numRef>
              <c:f>'pivot tables'!$B$43:$B$49</c:f>
              <c:numCache>
                <c:formatCode>General</c:formatCode>
                <c:ptCount val="6"/>
                <c:pt idx="0">
                  <c:v>2084.58</c:v>
                </c:pt>
                <c:pt idx="1">
                  <c:v>1054.18</c:v>
                </c:pt>
                <c:pt idx="2">
                  <c:v>1996.92</c:v>
                </c:pt>
                <c:pt idx="3">
                  <c:v>767.98</c:v>
                </c:pt>
                <c:pt idx="4">
                  <c:v>7623.49</c:v>
                </c:pt>
                <c:pt idx="5">
                  <c:v>801.7299999999999</c:v>
                </c:pt>
              </c:numCache>
            </c:numRef>
          </c:val>
          <c:extLst>
            <c:ext xmlns:c16="http://schemas.microsoft.com/office/drawing/2014/chart" uri="{C3380CC4-5D6E-409C-BE32-E72D297353CC}">
              <c16:uniqueId val="{00000000-DB68-4C48-9B11-7AD39D45120D}"/>
            </c:ext>
          </c:extLst>
        </c:ser>
        <c:dLbls>
          <c:dLblPos val="outEnd"/>
          <c:showLegendKey val="0"/>
          <c:showVal val="1"/>
          <c:showCatName val="0"/>
          <c:showSerName val="0"/>
          <c:showPercent val="0"/>
          <c:showBubbleSize val="0"/>
        </c:dLbls>
        <c:gapWidth val="182"/>
        <c:axId val="709065328"/>
        <c:axId val="709059920"/>
      </c:barChart>
      <c:catAx>
        <c:axId val="70906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59920"/>
        <c:crosses val="autoZero"/>
        <c:auto val="1"/>
        <c:lblAlgn val="ctr"/>
        <c:lblOffset val="100"/>
        <c:noMultiLvlLbl val="0"/>
      </c:catAx>
      <c:valAx>
        <c:axId val="70905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65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[airline project.xlsx]pivot tables!PivotTable4</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flight date</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2225" cap="rnd">
            <a:solidFill>
              <a:schemeClr val="accent2"/>
            </a:solidFill>
            <a:round/>
          </a:ln>
          <a:effectLst/>
        </c:spPr>
        <c:marker>
          <c:spPr>
            <a:solidFill>
              <a:schemeClr val="accent2"/>
            </a:solidFill>
            <a:ln w="9525">
              <a:solidFill>
                <a:schemeClr val="accen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2"/>
            </a:solidFill>
            <a:round/>
          </a:ln>
          <a:effectLst/>
        </c:spPr>
        <c:marker>
          <c:symbol val="diamond"/>
          <c:size val="6"/>
          <c:spPr>
            <a:solidFill>
              <a:schemeClr val="accent2"/>
            </a:solidFill>
            <a:ln w="9525">
              <a:solidFill>
                <a:schemeClr val="accent2"/>
              </a:solidFill>
              <a:round/>
            </a:ln>
            <a:effectLst/>
          </c:spPr>
        </c:marker>
      </c:pivotFmt>
    </c:pivotFmts>
    <c:plotArea>
      <c:layout/>
      <c:lineChart>
        <c:grouping val="standard"/>
        <c:varyColors val="0"/>
        <c:ser>
          <c:idx val="0"/>
          <c:order val="0"/>
          <c:tx>
            <c:strRef>
              <c:f>'pivot tables'!$B$33</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s>
            <c:delete val="1"/>
          </c:dLbls>
          <c:cat>
            <c:strRef>
              <c:f>'pivot tables'!$A$34:$A$36</c:f>
              <c:strCache>
                <c:ptCount val="2"/>
                <c:pt idx="0">
                  <c:v>2025</c:v>
                </c:pt>
                <c:pt idx="1">
                  <c:v>2026</c:v>
                </c:pt>
              </c:strCache>
            </c:strRef>
          </c:cat>
          <c:val>
            <c:numRef>
              <c:f>'pivot tables'!$B$34:$B$36</c:f>
              <c:numCache>
                <c:formatCode>General</c:formatCode>
                <c:ptCount val="2"/>
                <c:pt idx="0">
                  <c:v>38</c:v>
                </c:pt>
                <c:pt idx="1">
                  <c:v>7</c:v>
                </c:pt>
              </c:numCache>
            </c:numRef>
          </c:val>
          <c:smooth val="0"/>
          <c:extLst>
            <c:ext xmlns:c16="http://schemas.microsoft.com/office/drawing/2014/chart" uri="{C3380CC4-5D6E-409C-BE32-E72D297353CC}">
              <c16:uniqueId val="{00000000-9382-4154-840B-A52457E6B21B}"/>
            </c:ext>
          </c:extLst>
        </c:ser>
        <c:dLbls>
          <c:dLblPos val="t"/>
          <c:showLegendKey val="0"/>
          <c:showVal val="1"/>
          <c:showCatName val="0"/>
          <c:showSerName val="0"/>
          <c:showPercent val="0"/>
          <c:showBubbleSize val="0"/>
        </c:dLbls>
        <c:marker val="1"/>
        <c:smooth val="0"/>
        <c:axId val="709064080"/>
        <c:axId val="709061584"/>
      </c:lineChart>
      <c:catAx>
        <c:axId val="70906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09061584"/>
        <c:crosses val="autoZero"/>
        <c:auto val="1"/>
        <c:lblAlgn val="ctr"/>
        <c:lblOffset val="100"/>
        <c:noMultiLvlLbl val="0"/>
      </c:catAx>
      <c:valAx>
        <c:axId val="70906158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064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17</xdr:col>
      <xdr:colOff>596900</xdr:colOff>
      <xdr:row>23</xdr:row>
      <xdr:rowOff>63500</xdr:rowOff>
    </xdr:from>
    <xdr:to>
      <xdr:col>20</xdr:col>
      <xdr:colOff>596900</xdr:colOff>
      <xdr:row>37</xdr:row>
      <xdr:rowOff>9525</xdr:rowOff>
    </xdr:to>
    <mc:AlternateContent xmlns:mc="http://schemas.openxmlformats.org/markup-compatibility/2006" xmlns:a14="http://schemas.microsoft.com/office/drawing/2010/main">
      <mc:Choice Requires="a14">
        <xdr:graphicFrame macro="">
          <xdr:nvGraphicFramePr>
            <xdr:cNvPr id="9" name="Booking_Status"/>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12928600" y="4298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57150</xdr:colOff>
      <xdr:row>2</xdr:row>
      <xdr:rowOff>25400</xdr:rowOff>
    </xdr:to>
    <xdr:sp macro="" textlink="">
      <xdr:nvSpPr>
        <xdr:cNvPr id="2" name="Rectangle 1"/>
        <xdr:cNvSpPr/>
      </xdr:nvSpPr>
      <xdr:spPr>
        <a:xfrm>
          <a:off x="0" y="0"/>
          <a:ext cx="3378200" cy="393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565150</xdr:colOff>
      <xdr:row>3</xdr:row>
      <xdr:rowOff>44450</xdr:rowOff>
    </xdr:to>
    <xdr:sp macro="" textlink="">
      <xdr:nvSpPr>
        <xdr:cNvPr id="3" name="Rounded Rectangle 2"/>
        <xdr:cNvSpPr/>
      </xdr:nvSpPr>
      <xdr:spPr>
        <a:xfrm>
          <a:off x="0" y="0"/>
          <a:ext cx="12757150" cy="596900"/>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Airline</a:t>
          </a:r>
          <a:r>
            <a:rPr lang="en-US" sz="2400" b="1" baseline="0"/>
            <a:t> passenger&amp;Booking Data Analysis</a:t>
          </a:r>
          <a:endParaRPr lang="en-US" sz="2400" b="1"/>
        </a:p>
      </xdr:txBody>
    </xdr:sp>
    <xdr:clientData/>
  </xdr:twoCellAnchor>
  <xdr:twoCellAnchor>
    <xdr:from>
      <xdr:col>5</xdr:col>
      <xdr:colOff>603250</xdr:colOff>
      <xdr:row>5</xdr:row>
      <xdr:rowOff>88900</xdr:rowOff>
    </xdr:from>
    <xdr:to>
      <xdr:col>7</xdr:col>
      <xdr:colOff>596900</xdr:colOff>
      <xdr:row>8</xdr:row>
      <xdr:rowOff>171450</xdr:rowOff>
    </xdr:to>
    <xdr:sp macro="" textlink="'pivot tables'!B58">
      <xdr:nvSpPr>
        <xdr:cNvPr id="4" name="Rounded Rectangle 3"/>
        <xdr:cNvSpPr/>
      </xdr:nvSpPr>
      <xdr:spPr>
        <a:xfrm>
          <a:off x="3651250" y="1060450"/>
          <a:ext cx="1212850" cy="6350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40BF80A-C4F3-4A7F-98DB-26409EC47FAF}" type="TxLink">
            <a:rPr lang="en-US" sz="3200" b="0" i="0" u="none" strike="noStrike">
              <a:solidFill>
                <a:srgbClr val="000000"/>
              </a:solidFill>
              <a:latin typeface="Calibri"/>
              <a:cs typeface="Calibri"/>
            </a:rPr>
            <a:pPr algn="ctr"/>
            <a:t>58112.25</a:t>
          </a:fld>
          <a:endParaRPr lang="en-US" sz="3200"/>
        </a:p>
      </xdr:txBody>
    </xdr:sp>
    <xdr:clientData/>
  </xdr:twoCellAnchor>
  <xdr:twoCellAnchor>
    <xdr:from>
      <xdr:col>8</xdr:col>
      <xdr:colOff>552450</xdr:colOff>
      <xdr:row>5</xdr:row>
      <xdr:rowOff>69850</xdr:rowOff>
    </xdr:from>
    <xdr:to>
      <xdr:col>11</xdr:col>
      <xdr:colOff>44450</xdr:colOff>
      <xdr:row>8</xdr:row>
      <xdr:rowOff>165100</xdr:rowOff>
    </xdr:to>
    <xdr:sp macro="" textlink="'pivot tables'!B59">
      <xdr:nvSpPr>
        <xdr:cNvPr id="5" name="Rounded Rectangle 4"/>
        <xdr:cNvSpPr/>
      </xdr:nvSpPr>
      <xdr:spPr>
        <a:xfrm>
          <a:off x="5429250" y="1041400"/>
          <a:ext cx="1320800" cy="6477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144E205-F45C-4A46-AFE2-03E6DBBC309E}" type="TxLink">
            <a:rPr lang="en-US" sz="3200" b="0" i="0" u="none" strike="noStrike">
              <a:solidFill>
                <a:srgbClr val="000000"/>
              </a:solidFill>
              <a:latin typeface="Calibri"/>
              <a:cs typeface="Calibri"/>
            </a:rPr>
            <a:pPr algn="ctr"/>
            <a:t>292</a:t>
          </a:fld>
          <a:endParaRPr lang="en-US" sz="3200"/>
        </a:p>
      </xdr:txBody>
    </xdr:sp>
    <xdr:clientData/>
  </xdr:twoCellAnchor>
  <xdr:twoCellAnchor>
    <xdr:from>
      <xdr:col>11</xdr:col>
      <xdr:colOff>565150</xdr:colOff>
      <xdr:row>5</xdr:row>
      <xdr:rowOff>69850</xdr:rowOff>
    </xdr:from>
    <xdr:to>
      <xdr:col>14</xdr:col>
      <xdr:colOff>31750</xdr:colOff>
      <xdr:row>8</xdr:row>
      <xdr:rowOff>158750</xdr:rowOff>
    </xdr:to>
    <xdr:sp macro="" textlink="'pivot tables'!B60">
      <xdr:nvSpPr>
        <xdr:cNvPr id="6" name="Rounded Rectangle 5"/>
        <xdr:cNvSpPr/>
      </xdr:nvSpPr>
      <xdr:spPr>
        <a:xfrm>
          <a:off x="7270750" y="1041400"/>
          <a:ext cx="1295400" cy="64135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3D10305-EE76-458A-8AA5-1AC005AD4A5F}" type="TxLink">
            <a:rPr lang="en-US" sz="2800" b="0" i="0" u="none" strike="noStrike">
              <a:solidFill>
                <a:srgbClr val="000000"/>
              </a:solidFill>
              <a:latin typeface="Calibri"/>
              <a:cs typeface="Calibri"/>
            </a:rPr>
            <a:pPr algn="ctr"/>
            <a:t>199.01</a:t>
          </a:fld>
          <a:endParaRPr lang="en-US" sz="2800"/>
        </a:p>
      </xdr:txBody>
    </xdr:sp>
    <xdr:clientData/>
  </xdr:twoCellAnchor>
  <xdr:twoCellAnchor>
    <xdr:from>
      <xdr:col>15</xdr:col>
      <xdr:colOff>158750</xdr:colOff>
      <xdr:row>5</xdr:row>
      <xdr:rowOff>82550</xdr:rowOff>
    </xdr:from>
    <xdr:to>
      <xdr:col>17</xdr:col>
      <xdr:colOff>254000</xdr:colOff>
      <xdr:row>8</xdr:row>
      <xdr:rowOff>158750</xdr:rowOff>
    </xdr:to>
    <xdr:sp macro="" textlink="'pivot tables'!B61">
      <xdr:nvSpPr>
        <xdr:cNvPr id="7" name="Rounded Rectangle 6"/>
        <xdr:cNvSpPr/>
      </xdr:nvSpPr>
      <xdr:spPr>
        <a:xfrm>
          <a:off x="9302750" y="1054100"/>
          <a:ext cx="1314450" cy="62865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CB608E9-38FC-4247-8D7A-82F5778BDF3A}" type="TxLink">
            <a:rPr lang="en-US" sz="2800" b="0" i="0" u="none" strike="noStrike">
              <a:solidFill>
                <a:srgbClr val="000000"/>
              </a:solidFill>
              <a:latin typeface="Calibri"/>
              <a:cs typeface="Calibri"/>
            </a:rPr>
            <a:pPr algn="ctr"/>
            <a:t>159</a:t>
          </a:fld>
          <a:endParaRPr lang="en-US" sz="2800"/>
        </a:p>
      </xdr:txBody>
    </xdr:sp>
    <xdr:clientData/>
  </xdr:twoCellAnchor>
  <xdr:twoCellAnchor>
    <xdr:from>
      <xdr:col>3</xdr:col>
      <xdr:colOff>406400</xdr:colOff>
      <xdr:row>9</xdr:row>
      <xdr:rowOff>82550</xdr:rowOff>
    </xdr:from>
    <xdr:to>
      <xdr:col>11</xdr:col>
      <xdr:colOff>368300</xdr:colOff>
      <xdr:row>24</xdr:row>
      <xdr:rowOff>127000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57150</xdr:colOff>
      <xdr:row>10</xdr:row>
      <xdr:rowOff>6350</xdr:rowOff>
    </xdr:from>
    <xdr:to>
      <xdr:col>18</xdr:col>
      <xdr:colOff>6350</xdr:colOff>
      <xdr:row>24</xdr:row>
      <xdr:rowOff>158750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345385</xdr:colOff>
      <xdr:row>27</xdr:row>
      <xdr:rowOff>89727</xdr:rowOff>
    </xdr:from>
    <xdr:to>
      <xdr:col>11</xdr:col>
      <xdr:colOff>567635</xdr:colOff>
      <xdr:row>41</xdr:row>
      <xdr:rowOff>23466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565150</xdr:colOff>
      <xdr:row>26</xdr:row>
      <xdr:rowOff>177800</xdr:rowOff>
    </xdr:from>
    <xdr:to>
      <xdr:col>18</xdr:col>
      <xdr:colOff>219075</xdr:colOff>
      <xdr:row>40</xdr:row>
      <xdr:rowOff>133350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12</xdr:row>
      <xdr:rowOff>101601</xdr:rowOff>
    </xdr:from>
    <xdr:to>
      <xdr:col>2</xdr:col>
      <xdr:colOff>438150</xdr:colOff>
      <xdr:row>23</xdr:row>
      <xdr:rowOff>82550</xdr:rowOff>
    </xdr:to>
    <mc:AlternateContent xmlns:mc="http://schemas.openxmlformats.org/markup-compatibility/2006" xmlns:a14="http://schemas.microsoft.com/office/drawing/2010/main">
      <mc:Choice Requires="a14">
        <xdr:graphicFrame macro="">
          <xdr:nvGraphicFramePr>
            <xdr:cNvPr id="12" name="Route 1"/>
            <xdr:cNvGraphicFramePr/>
          </xdr:nvGraphicFramePr>
          <xdr:xfrm>
            <a:off x="0" y="0"/>
            <a:ext cx="0" cy="0"/>
          </xdr:xfrm>
          <a:graphic>
            <a:graphicData uri="http://schemas.microsoft.com/office/drawing/2010/slicer">
              <sle:slicer xmlns:sle="http://schemas.microsoft.com/office/drawing/2010/slicer" name="Route 1"/>
            </a:graphicData>
          </a:graphic>
        </xdr:graphicFrame>
      </mc:Choice>
      <mc:Fallback xmlns="">
        <xdr:sp macro="" textlink="">
          <xdr:nvSpPr>
            <xdr:cNvPr id="0" name=""/>
            <xdr:cNvSpPr>
              <a:spLocks noTextEdit="1"/>
            </xdr:cNvSpPr>
          </xdr:nvSpPr>
          <xdr:spPr>
            <a:xfrm>
              <a:off x="0" y="2386221"/>
              <a:ext cx="1652933" cy="2030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31751</xdr:rowOff>
    </xdr:from>
    <xdr:to>
      <xdr:col>2</xdr:col>
      <xdr:colOff>469900</xdr:colOff>
      <xdr:row>33</xdr:row>
      <xdr:rowOff>171451</xdr:rowOff>
    </xdr:to>
    <mc:AlternateContent xmlns:mc="http://schemas.openxmlformats.org/markup-compatibility/2006" xmlns:a14="http://schemas.microsoft.com/office/drawing/2010/main">
      <mc:Choice Requires="a14">
        <xdr:graphicFrame macro="">
          <xdr:nvGraphicFramePr>
            <xdr:cNvPr id="13" name="Booking_Status 1"/>
            <xdr:cNvGraphicFramePr/>
          </xdr:nvGraphicFramePr>
          <xdr:xfrm>
            <a:off x="0" y="0"/>
            <a:ext cx="0" cy="0"/>
          </xdr:xfrm>
          <a:graphic>
            <a:graphicData uri="http://schemas.microsoft.com/office/drawing/2010/slicer">
              <sle:slicer xmlns:sle="http://schemas.microsoft.com/office/drawing/2010/slicer" name="Booking_Status 1"/>
            </a:graphicData>
          </a:graphic>
        </xdr:graphicFrame>
      </mc:Choice>
      <mc:Fallback xmlns="">
        <xdr:sp macro="" textlink="">
          <xdr:nvSpPr>
            <xdr:cNvPr id="0" name=""/>
            <xdr:cNvSpPr>
              <a:spLocks noTextEdit="1"/>
            </xdr:cNvSpPr>
          </xdr:nvSpPr>
          <xdr:spPr>
            <a:xfrm>
              <a:off x="0" y="4552675"/>
              <a:ext cx="1684683" cy="1816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82549</xdr:rowOff>
    </xdr:from>
    <xdr:to>
      <xdr:col>2</xdr:col>
      <xdr:colOff>476250</xdr:colOff>
      <xdr:row>43</xdr:row>
      <xdr:rowOff>38100</xdr:rowOff>
    </xdr:to>
    <mc:AlternateContent xmlns:mc="http://schemas.openxmlformats.org/markup-compatibility/2006" xmlns:a14="http://schemas.microsoft.com/office/drawing/2010/main">
      <mc:Choice Requires="a14">
        <xdr:graphicFrame macro="">
          <xdr:nvGraphicFramePr>
            <xdr:cNvPr id="14" name="Travel_Class 1"/>
            <xdr:cNvGraphicFramePr/>
          </xdr:nvGraphicFramePr>
          <xdr:xfrm>
            <a:off x="0" y="0"/>
            <a:ext cx="0" cy="0"/>
          </xdr:xfrm>
          <a:graphic>
            <a:graphicData uri="http://schemas.microsoft.com/office/drawing/2010/slicer">
              <sle:slicer xmlns:sle="http://schemas.microsoft.com/office/drawing/2010/slicer" name="Travel_Class 1"/>
            </a:graphicData>
          </a:graphic>
        </xdr:graphicFrame>
      </mc:Choice>
      <mc:Fallback xmlns="">
        <xdr:sp macro="" textlink="">
          <xdr:nvSpPr>
            <xdr:cNvPr id="0" name=""/>
            <xdr:cNvSpPr>
              <a:spLocks noTextEdit="1"/>
            </xdr:cNvSpPr>
          </xdr:nvSpPr>
          <xdr:spPr>
            <a:xfrm>
              <a:off x="0" y="6467060"/>
              <a:ext cx="1691033" cy="1632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19050</xdr:rowOff>
    </xdr:from>
    <xdr:to>
      <xdr:col>19</xdr:col>
      <xdr:colOff>82550</xdr:colOff>
      <xdr:row>3</xdr:row>
      <xdr:rowOff>25400</xdr:rowOff>
    </xdr:to>
    <xdr:sp macro="" textlink="">
      <xdr:nvSpPr>
        <xdr:cNvPr id="2" name="Rectangle 1"/>
        <xdr:cNvSpPr/>
      </xdr:nvSpPr>
      <xdr:spPr>
        <a:xfrm>
          <a:off x="0" y="19050"/>
          <a:ext cx="11664950" cy="558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lt1"/>
              </a:solidFill>
              <a:effectLst/>
              <a:latin typeface="+mn-lt"/>
              <a:ea typeface="+mn-ea"/>
              <a:cs typeface="+mn-cs"/>
            </a:rPr>
            <a:t>Airline</a:t>
          </a:r>
          <a:r>
            <a:rPr lang="en-US" sz="2400" b="1" baseline="0">
              <a:solidFill>
                <a:schemeClr val="lt1"/>
              </a:solidFill>
              <a:effectLst/>
              <a:latin typeface="+mn-lt"/>
              <a:ea typeface="+mn-ea"/>
              <a:cs typeface="+mn-cs"/>
            </a:rPr>
            <a:t> passenger&amp;Booking Data Analysis</a:t>
          </a:r>
          <a:endParaRPr lang="en-US" sz="2400">
            <a:effectLst/>
          </a:endParaRPr>
        </a:p>
        <a:p>
          <a:pPr algn="l"/>
          <a:endParaRPr lang="en-US" sz="1100"/>
        </a:p>
      </xdr:txBody>
    </xdr:sp>
    <xdr:clientData/>
  </xdr:twoCellAnchor>
  <xdr:twoCellAnchor>
    <xdr:from>
      <xdr:col>4</xdr:col>
      <xdr:colOff>25400</xdr:colOff>
      <xdr:row>10</xdr:row>
      <xdr:rowOff>152400</xdr:rowOff>
    </xdr:from>
    <xdr:to>
      <xdr:col>12</xdr:col>
      <xdr:colOff>361950</xdr:colOff>
      <xdr:row>25</xdr:row>
      <xdr:rowOff>101600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234950</xdr:colOff>
      <xdr:row>27</xdr:row>
      <xdr:rowOff>44450</xdr:rowOff>
    </xdr:from>
    <xdr:to>
      <xdr:col>11</xdr:col>
      <xdr:colOff>596900</xdr:colOff>
      <xdr:row>42</xdr:row>
      <xdr:rowOff>12700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266700</xdr:colOff>
      <xdr:row>26</xdr:row>
      <xdr:rowOff>120650</xdr:rowOff>
    </xdr:from>
    <xdr:to>
      <xdr:col>20</xdr:col>
      <xdr:colOff>63500</xdr:colOff>
      <xdr:row>43</xdr:row>
      <xdr:rowOff>171450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463550</xdr:colOff>
      <xdr:row>10</xdr:row>
      <xdr:rowOff>146050</xdr:rowOff>
    </xdr:from>
    <xdr:to>
      <xdr:col>20</xdr:col>
      <xdr:colOff>577850</xdr:colOff>
      <xdr:row>26</xdr:row>
      <xdr:rowOff>38100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260350</xdr:colOff>
      <xdr:row>11</xdr:row>
      <xdr:rowOff>19050</xdr:rowOff>
    </xdr:from>
    <xdr:to>
      <xdr:col>3</xdr:col>
      <xdr:colOff>260350</xdr:colOff>
      <xdr:row>24</xdr:row>
      <xdr:rowOff>149225</xdr:rowOff>
    </xdr:to>
    <mc:AlternateContent xmlns:mc="http://schemas.openxmlformats.org/markup-compatibility/2006" xmlns:a14="http://schemas.microsoft.com/office/drawing/2010/main">
      <mc:Choice Requires="a14">
        <xdr:graphicFrame macro="">
          <xdr:nvGraphicFramePr>
            <xdr:cNvPr id="9" name="Route 2"/>
            <xdr:cNvGraphicFramePr/>
          </xdr:nvGraphicFramePr>
          <xdr:xfrm>
            <a:off x="0" y="0"/>
            <a:ext cx="0" cy="0"/>
          </xdr:xfrm>
          <a:graphic>
            <a:graphicData uri="http://schemas.microsoft.com/office/drawing/2010/slicer">
              <sle:slicer xmlns:sle="http://schemas.microsoft.com/office/drawing/2010/slicer" name="Route 2"/>
            </a:graphicData>
          </a:graphic>
        </xdr:graphicFrame>
      </mc:Choice>
      <mc:Fallback xmlns="">
        <xdr:sp macro="" textlink="">
          <xdr:nvSpPr>
            <xdr:cNvPr id="0" name=""/>
            <xdr:cNvSpPr>
              <a:spLocks noTextEdit="1"/>
            </xdr:cNvSpPr>
          </xdr:nvSpPr>
          <xdr:spPr>
            <a:xfrm>
              <a:off x="260350" y="2095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25</xdr:row>
      <xdr:rowOff>101601</xdr:rowOff>
    </xdr:from>
    <xdr:to>
      <xdr:col>3</xdr:col>
      <xdr:colOff>215900</xdr:colOff>
      <xdr:row>33</xdr:row>
      <xdr:rowOff>57151</xdr:rowOff>
    </xdr:to>
    <mc:AlternateContent xmlns:mc="http://schemas.openxmlformats.org/markup-compatibility/2006" xmlns:a14="http://schemas.microsoft.com/office/drawing/2010/main">
      <mc:Choice Requires="a14">
        <xdr:graphicFrame macro="">
          <xdr:nvGraphicFramePr>
            <xdr:cNvPr id="10" name="Travel_Class 2"/>
            <xdr:cNvGraphicFramePr/>
          </xdr:nvGraphicFramePr>
          <xdr:xfrm>
            <a:off x="0" y="0"/>
            <a:ext cx="0" cy="0"/>
          </xdr:xfrm>
          <a:graphic>
            <a:graphicData uri="http://schemas.microsoft.com/office/drawing/2010/slicer">
              <sle:slicer xmlns:sle="http://schemas.microsoft.com/office/drawing/2010/slicer" name="Travel_Class 2"/>
            </a:graphicData>
          </a:graphic>
        </xdr:graphicFrame>
      </mc:Choice>
      <mc:Fallback xmlns="">
        <xdr:sp macro="" textlink="">
          <xdr:nvSpPr>
            <xdr:cNvPr id="0" name=""/>
            <xdr:cNvSpPr>
              <a:spLocks noTextEdit="1"/>
            </xdr:cNvSpPr>
          </xdr:nvSpPr>
          <xdr:spPr>
            <a:xfrm>
              <a:off x="247650" y="4756151"/>
              <a:ext cx="179705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273050</xdr:colOff>
      <xdr:row>34</xdr:row>
      <xdr:rowOff>38100</xdr:rowOff>
    </xdr:from>
    <xdr:to>
      <xdr:col>3</xdr:col>
      <xdr:colOff>273050</xdr:colOff>
      <xdr:row>47</xdr:row>
      <xdr:rowOff>168275</xdr:rowOff>
    </xdr:to>
    <mc:AlternateContent xmlns:mc="http://schemas.openxmlformats.org/markup-compatibility/2006" xmlns:a14="http://schemas.microsoft.com/office/drawing/2010/main">
      <mc:Choice Requires="a14">
        <xdr:graphicFrame macro="">
          <xdr:nvGraphicFramePr>
            <xdr:cNvPr id="11" name="Booking_Status 2"/>
            <xdr:cNvGraphicFramePr/>
          </xdr:nvGraphicFramePr>
          <xdr:xfrm>
            <a:off x="0" y="0"/>
            <a:ext cx="0" cy="0"/>
          </xdr:xfrm>
          <a:graphic>
            <a:graphicData uri="http://schemas.microsoft.com/office/drawing/2010/slicer">
              <sle:slicer xmlns:sle="http://schemas.microsoft.com/office/drawing/2010/slicer" name="Booking_Status 2"/>
            </a:graphicData>
          </a:graphic>
        </xdr:graphicFrame>
      </mc:Choice>
      <mc:Fallback xmlns="">
        <xdr:sp macro="" textlink="">
          <xdr:nvSpPr>
            <xdr:cNvPr id="0" name=""/>
            <xdr:cNvSpPr>
              <a:spLocks noTextEdit="1"/>
            </xdr:cNvSpPr>
          </xdr:nvSpPr>
          <xdr:spPr>
            <a:xfrm>
              <a:off x="273050" y="6350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482600</xdr:colOff>
      <xdr:row>6</xdr:row>
      <xdr:rowOff>38100</xdr:rowOff>
    </xdr:from>
    <xdr:to>
      <xdr:col>4</xdr:col>
      <xdr:colOff>101600</xdr:colOff>
      <xdr:row>9</xdr:row>
      <xdr:rowOff>19050</xdr:rowOff>
    </xdr:to>
    <xdr:sp macro="" textlink="'pivot tables'!B58">
      <xdr:nvSpPr>
        <xdr:cNvPr id="12" name="Rounded Rectangle 11"/>
        <xdr:cNvSpPr/>
      </xdr:nvSpPr>
      <xdr:spPr>
        <a:xfrm>
          <a:off x="1092200" y="1193800"/>
          <a:ext cx="1447800" cy="533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8A7047B-D066-4C24-AA1C-7F723EFE89FD}" type="TxLink">
            <a:rPr lang="en-US" sz="2800" b="0" i="0" u="none" strike="noStrike">
              <a:solidFill>
                <a:srgbClr val="000000"/>
              </a:solidFill>
              <a:latin typeface="Calibri"/>
              <a:cs typeface="Calibri"/>
            </a:rPr>
            <a:pPr algn="l"/>
            <a:t>58112.25</a:t>
          </a:fld>
          <a:endParaRPr lang="en-US" sz="2800"/>
        </a:p>
      </xdr:txBody>
    </xdr:sp>
    <xdr:clientData/>
  </xdr:twoCellAnchor>
  <xdr:twoCellAnchor>
    <xdr:from>
      <xdr:col>6</xdr:col>
      <xdr:colOff>558800</xdr:colOff>
      <xdr:row>6</xdr:row>
      <xdr:rowOff>38100</xdr:rowOff>
    </xdr:from>
    <xdr:to>
      <xdr:col>9</xdr:col>
      <xdr:colOff>57150</xdr:colOff>
      <xdr:row>8</xdr:row>
      <xdr:rowOff>171450</xdr:rowOff>
    </xdr:to>
    <xdr:sp macro="" textlink="'pivot tables'!B59">
      <xdr:nvSpPr>
        <xdr:cNvPr id="13" name="Rounded Rectangle 12"/>
        <xdr:cNvSpPr/>
      </xdr:nvSpPr>
      <xdr:spPr>
        <a:xfrm>
          <a:off x="4216400" y="1193800"/>
          <a:ext cx="1327150" cy="501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EF807D8-0BF3-484C-A698-67344061D74B}" type="TxLink">
            <a:rPr lang="en-US" sz="2800" b="0" i="0" u="none" strike="noStrike">
              <a:solidFill>
                <a:srgbClr val="000000"/>
              </a:solidFill>
              <a:latin typeface="Calibri"/>
              <a:cs typeface="Calibri"/>
            </a:rPr>
            <a:pPr algn="ctr"/>
            <a:t>292</a:t>
          </a:fld>
          <a:endParaRPr lang="en-US" sz="2800"/>
        </a:p>
      </xdr:txBody>
    </xdr:sp>
    <xdr:clientData/>
  </xdr:twoCellAnchor>
  <xdr:twoCellAnchor>
    <xdr:from>
      <xdr:col>9</xdr:col>
      <xdr:colOff>444500</xdr:colOff>
      <xdr:row>6</xdr:row>
      <xdr:rowOff>6350</xdr:rowOff>
    </xdr:from>
    <xdr:to>
      <xdr:col>11</xdr:col>
      <xdr:colOff>590550</xdr:colOff>
      <xdr:row>9</xdr:row>
      <xdr:rowOff>0</xdr:rowOff>
    </xdr:to>
    <xdr:sp macro="" textlink="'pivot tables'!B60">
      <xdr:nvSpPr>
        <xdr:cNvPr id="14" name="Rounded Rectangle 13"/>
        <xdr:cNvSpPr/>
      </xdr:nvSpPr>
      <xdr:spPr>
        <a:xfrm>
          <a:off x="5930900" y="1162050"/>
          <a:ext cx="1365250" cy="546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9BA3BA6-104F-4B1A-87F7-7361F7C768D2}" type="TxLink">
            <a:rPr lang="en-US" sz="2800" b="0" i="0" u="none" strike="noStrike">
              <a:solidFill>
                <a:srgbClr val="000000"/>
              </a:solidFill>
              <a:latin typeface="Calibri"/>
              <a:cs typeface="Calibri"/>
            </a:rPr>
            <a:pPr algn="ctr"/>
            <a:t>199.01</a:t>
          </a:fld>
          <a:endParaRPr lang="en-US" sz="2800"/>
        </a:p>
      </xdr:txBody>
    </xdr:sp>
    <xdr:clientData/>
  </xdr:twoCellAnchor>
  <xdr:twoCellAnchor>
    <xdr:from>
      <xdr:col>14</xdr:col>
      <xdr:colOff>82550</xdr:colOff>
      <xdr:row>6</xdr:row>
      <xdr:rowOff>19050</xdr:rowOff>
    </xdr:from>
    <xdr:to>
      <xdr:col>16</xdr:col>
      <xdr:colOff>107950</xdr:colOff>
      <xdr:row>9</xdr:row>
      <xdr:rowOff>6350</xdr:rowOff>
    </xdr:to>
    <xdr:sp macro="" textlink="'pivot tables'!B61">
      <xdr:nvSpPr>
        <xdr:cNvPr id="15" name="Rounded Rectangle 14"/>
        <xdr:cNvSpPr/>
      </xdr:nvSpPr>
      <xdr:spPr>
        <a:xfrm>
          <a:off x="8616950" y="1174750"/>
          <a:ext cx="1244600" cy="53975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93CC84C-15ED-49AC-AFA8-61E8CBB0DA49}" type="TxLink">
            <a:rPr lang="en-US" sz="4000" b="0" i="0" u="none" strike="noStrike">
              <a:solidFill>
                <a:srgbClr val="000000"/>
              </a:solidFill>
              <a:latin typeface="Calibri"/>
              <a:cs typeface="Calibri"/>
            </a:rPr>
            <a:pPr algn="ctr"/>
            <a:t>159</a:t>
          </a:fld>
          <a:endParaRPr lang="en-US" sz="4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CT" refreshedDate="46251.492638194446" createdVersion="6" refreshedVersion="6" minRefreshableVersion="3" recordCount="292">
  <cacheSource type="worksheet">
    <worksheetSource name="Airline"/>
  </cacheSource>
  <cacheFields count="14">
    <cacheField name="Booking_ID" numFmtId="0">
      <sharedItems/>
    </cacheField>
    <cacheField name="Flight_Date" numFmtId="14">
      <sharedItems containsSemiMixedTypes="0" containsNonDate="0" containsDate="1" containsString="0" minDate="2025-01-03T00:00:00" maxDate="2026-07-24T00:00:00" count="214">
        <d v="2025-05-06T00:00:00"/>
        <d v="2025-01-04T00:00:00"/>
        <d v="2025-08-23T00:00:00"/>
        <d v="2025-11-01T00:00:00"/>
        <d v="2026-06-15T00:00:00"/>
        <d v="2025-08-04T00:00:00"/>
        <d v="2026-01-06T00:00:00"/>
        <d v="2025-11-22T00:00:00"/>
        <d v="2025-04-29T00:00:00"/>
        <d v="2025-08-05T00:00:00"/>
        <d v="2025-10-31T00:00:00"/>
        <d v="2026-01-13T00:00:00"/>
        <d v="2025-06-12T00:00:00"/>
        <d v="2025-11-16T00:00:00"/>
        <d v="2025-10-19T00:00:00"/>
        <d v="2026-06-22T00:00:00"/>
        <d v="2025-10-23T00:00:00"/>
        <d v="2025-12-14T00:00:00"/>
        <d v="2025-08-09T00:00:00"/>
        <d v="2026-07-21T00:00:00"/>
        <d v="2026-03-26T00:00:00"/>
        <d v="2025-06-19T00:00:00"/>
        <d v="2025-07-02T00:00:00"/>
        <d v="2026-01-02T00:00:00"/>
        <d v="2025-09-05T00:00:00"/>
        <d v="2025-07-21T00:00:00"/>
        <d v="2025-12-26T00:00:00"/>
        <d v="2025-08-03T00:00:00"/>
        <d v="2025-11-13T00:00:00"/>
        <d v="2026-03-14T00:00:00"/>
        <d v="2025-01-31T00:00:00"/>
        <d v="2025-12-29T00:00:00"/>
        <d v="2026-05-24T00:00:00"/>
        <d v="2026-01-11T00:00:00"/>
        <d v="2025-08-11T00:00:00"/>
        <d v="2025-04-07T00:00:00"/>
        <d v="2025-04-26T00:00:00"/>
        <d v="2026-02-22T00:00:00"/>
        <d v="2025-03-13T00:00:00"/>
        <d v="2026-05-21T00:00:00"/>
        <d v="2025-06-01T00:00:00"/>
        <d v="2025-07-18T00:00:00"/>
        <d v="2026-02-18T00:00:00"/>
        <d v="2025-07-06T00:00:00"/>
        <d v="2026-07-05T00:00:00"/>
        <d v="2025-04-23T00:00:00"/>
        <d v="2025-08-25T00:00:00"/>
        <d v="2025-05-01T00:00:00"/>
        <d v="2025-12-12T00:00:00"/>
        <d v="2026-04-10T00:00:00"/>
        <d v="2026-02-23T00:00:00"/>
        <d v="2025-12-11T00:00:00"/>
        <d v="2025-02-15T00:00:00"/>
        <d v="2025-10-05T00:00:00"/>
        <d v="2026-04-26T00:00:00"/>
        <d v="2025-06-29T00:00:00"/>
        <d v="2025-12-05T00:00:00"/>
        <d v="2025-02-04T00:00:00"/>
        <d v="2025-09-06T00:00:00"/>
        <d v="2025-10-28T00:00:00"/>
        <d v="2025-03-08T00:00:00"/>
        <d v="2026-07-03T00:00:00"/>
        <d v="2025-02-25T00:00:00"/>
        <d v="2025-11-02T00:00:00"/>
        <d v="2025-04-08T00:00:00"/>
        <d v="2025-06-17T00:00:00"/>
        <d v="2026-01-25T00:00:00"/>
        <d v="2025-12-01T00:00:00"/>
        <d v="2025-09-23T00:00:00"/>
        <d v="2025-10-10T00:00:00"/>
        <d v="2026-06-28T00:00:00"/>
        <d v="2025-06-02T00:00:00"/>
        <d v="2025-04-21T00:00:00"/>
        <d v="2025-06-07T00:00:00"/>
        <d v="2025-09-26T00:00:00"/>
        <d v="2025-10-04T00:00:00"/>
        <d v="2025-12-30T00:00:00"/>
        <d v="2026-04-05T00:00:00"/>
        <d v="2025-09-15T00:00:00"/>
        <d v="2025-08-22T00:00:00"/>
        <d v="2025-04-12T00:00:00"/>
        <d v="2026-05-30T00:00:00"/>
        <d v="2025-07-30T00:00:00"/>
        <d v="2025-03-18T00:00:00"/>
        <d v="2025-06-10T00:00:00"/>
        <d v="2026-01-24T00:00:00"/>
        <d v="2025-06-24T00:00:00"/>
        <d v="2025-05-15T00:00:00"/>
        <d v="2026-02-28T00:00:00"/>
        <d v="2025-05-03T00:00:00"/>
        <d v="2025-01-05T00:00:00"/>
        <d v="2025-09-12T00:00:00"/>
        <d v="2026-06-26T00:00:00"/>
        <d v="2026-01-21T00:00:00"/>
        <d v="2025-05-13T00:00:00"/>
        <d v="2026-06-17T00:00:00"/>
        <d v="2025-05-23T00:00:00"/>
        <d v="2025-10-17T00:00:00"/>
        <d v="2025-07-16T00:00:00"/>
        <d v="2026-02-27T00:00:00"/>
        <d v="2025-01-24T00:00:00"/>
        <d v="2026-06-04T00:00:00"/>
        <d v="2025-07-27T00:00:00"/>
        <d v="2026-05-23T00:00:00"/>
        <d v="2025-09-25T00:00:00"/>
        <d v="2026-02-15T00:00:00"/>
        <d v="2025-12-21T00:00:00"/>
        <d v="2025-02-23T00:00:00"/>
        <d v="2026-01-20T00:00:00"/>
        <d v="2025-04-14T00:00:00"/>
        <d v="2026-06-25T00:00:00"/>
        <d v="2026-05-04T00:00:00"/>
        <d v="2025-04-19T00:00:00"/>
        <d v="2025-06-23T00:00:00"/>
        <d v="2026-05-08T00:00:00"/>
        <d v="2026-07-14T00:00:00"/>
        <d v="2025-02-24T00:00:00"/>
        <d v="2026-06-21T00:00:00"/>
        <d v="2025-01-26T00:00:00"/>
        <d v="2026-05-09T00:00:00"/>
        <d v="2025-05-10T00:00:00"/>
        <d v="2025-01-28T00:00:00"/>
        <d v="2025-03-02T00:00:00"/>
        <d v="2025-12-28T00:00:00"/>
        <d v="2025-03-10T00:00:00"/>
        <d v="2025-04-30T00:00:00"/>
        <d v="2025-09-08T00:00:00"/>
        <d v="2025-11-23T00:00:00"/>
        <d v="2025-05-28T00:00:00"/>
        <d v="2025-03-01T00:00:00"/>
        <d v="2025-01-27T00:00:00"/>
        <d v="2025-02-14T00:00:00"/>
        <d v="2025-01-06T00:00:00"/>
        <d v="2026-06-16T00:00:00"/>
        <d v="2025-01-12T00:00:00"/>
        <d v="2026-03-18T00:00:00"/>
        <d v="2026-01-07T00:00:00"/>
        <d v="2026-06-06T00:00:00"/>
        <d v="2025-07-14T00:00:00"/>
        <d v="2026-07-11T00:00:00"/>
        <d v="2025-06-28T00:00:00"/>
        <d v="2025-04-24T00:00:00"/>
        <d v="2026-01-18T00:00:00"/>
        <d v="2025-09-28T00:00:00"/>
        <d v="2026-04-23T00:00:00"/>
        <d v="2025-06-14T00:00:00"/>
        <d v="2026-07-06T00:00:00"/>
        <d v="2026-05-18T00:00:00"/>
        <d v="2025-01-23T00:00:00"/>
        <d v="2026-07-07T00:00:00"/>
        <d v="2025-10-08T00:00:00"/>
        <d v="2025-02-09T00:00:00"/>
        <d v="2026-05-02T00:00:00"/>
        <d v="2025-04-11T00:00:00"/>
        <d v="2025-10-13T00:00:00"/>
        <d v="2025-07-08T00:00:00"/>
        <d v="2025-01-03T00:00:00"/>
        <d v="2025-12-27T00:00:00"/>
        <d v="2026-06-14T00:00:00"/>
        <d v="2025-09-19T00:00:00"/>
        <d v="2025-02-16T00:00:00"/>
        <d v="2026-05-25T00:00:00"/>
        <d v="2026-05-05T00:00:00"/>
        <d v="2025-05-14T00:00:00"/>
        <d v="2025-09-21T00:00:00"/>
        <d v="2025-06-03T00:00:00"/>
        <d v="2026-03-06T00:00:00"/>
        <d v="2025-08-12T00:00:00"/>
        <d v="2025-11-21T00:00:00"/>
        <d v="2025-01-29T00:00:00"/>
        <d v="2025-08-27T00:00:00"/>
        <d v="2025-07-20T00:00:00"/>
        <d v="2025-02-28T00:00:00"/>
        <d v="2025-04-09T00:00:00"/>
        <d v="2026-06-07T00:00:00"/>
        <d v="2025-03-27T00:00:00"/>
        <d v="2025-10-01T00:00:00"/>
        <d v="2025-06-25T00:00:00"/>
        <d v="2026-07-23T00:00:00"/>
        <d v="2025-11-24T00:00:00"/>
        <d v="2025-05-05T00:00:00"/>
        <d v="2025-11-07T00:00:00"/>
        <d v="2025-03-17T00:00:00"/>
        <d v="2026-02-02T00:00:00"/>
        <d v="2026-03-09T00:00:00"/>
        <d v="2026-02-04T00:00:00"/>
        <d v="2026-05-20T00:00:00"/>
        <d v="2026-02-05T00:00:00"/>
        <d v="2026-01-29T00:00:00"/>
        <d v="2025-09-24T00:00:00"/>
        <d v="2025-09-17T00:00:00"/>
        <d v="2025-07-19T00:00:00"/>
        <d v="2026-06-11T00:00:00"/>
        <d v="2025-11-20T00:00:00"/>
        <d v="2025-05-31T00:00:00"/>
        <d v="2025-10-18T00:00:00"/>
        <d v="2025-11-30T00:00:00"/>
        <d v="2026-02-14T00:00:00"/>
        <d v="2026-04-29T00:00:00"/>
        <d v="2026-07-18T00:00:00"/>
        <d v="2025-11-29T00:00:00"/>
        <d v="2025-05-29T00:00:00"/>
        <d v="2025-12-02T00:00:00"/>
        <d v="2026-06-10T00:00:00"/>
        <d v="2026-05-15T00:00:00"/>
        <d v="2025-05-18T00:00:00"/>
        <d v="2025-06-16T00:00:00"/>
        <d v="2025-05-17T00:00:00"/>
        <d v="2025-04-04T00:00:00"/>
        <d v="2025-05-19T00:00:00"/>
        <d v="2026-06-19T00:00:00"/>
        <d v="2025-09-03T00:00:00"/>
        <d v="2025-12-31T00:00:00"/>
        <d v="2026-04-06T00:00:00"/>
      </sharedItems>
      <fieldGroup par="13" base="1">
        <rangePr groupBy="months" startDate="2025-01-03T00:00:00" endDate="2026-07-24T00:00:00"/>
        <groupItems count="14">
          <s v="&lt;1/3/2025"/>
          <s v="Jan"/>
          <s v="Feb"/>
          <s v="Mar"/>
          <s v="Apr"/>
          <s v="May"/>
          <s v="Jun"/>
          <s v="Jul"/>
          <s v="Aug"/>
          <s v="Sep"/>
          <s v="Oct"/>
          <s v="Nov"/>
          <s v="Dec"/>
          <s v="&gt;7/24/2026"/>
        </groupItems>
      </fieldGroup>
    </cacheField>
    <cacheField name="Route" numFmtId="0">
      <sharedItems count="6">
        <s v="MGQ-HGA"/>
        <s v="MGQ-NBO"/>
        <s v="MGQ-ADD"/>
        <s v="MGQ-BSA"/>
        <s v="MGQ-KMU"/>
        <s v="Unknown"/>
      </sharedItems>
    </cacheField>
    <cacheField name="Passenger_Type" numFmtId="0">
      <sharedItems count="4">
        <s v="Adult"/>
        <s v="Child"/>
        <s v="Senior"/>
        <s v="Unknown"/>
      </sharedItems>
    </cacheField>
    <cacheField name="Travel_Class" numFmtId="0">
      <sharedItems count="3">
        <s v="Economy"/>
        <s v="Unknown"/>
        <s v="Business"/>
      </sharedItems>
    </cacheField>
    <cacheField name="Ticket_Price" numFmtId="166">
      <sharedItems containsSemiMixedTypes="0" containsString="0" containsNumber="1" minValue="-7" maxValue="1018"/>
    </cacheField>
    <cacheField name="Booking_Status" numFmtId="0">
      <sharedItems count="4">
        <s v="Completed"/>
        <s v="Confirmed"/>
        <s v="Unknown"/>
        <s v="Cancelled"/>
      </sharedItems>
    </cacheField>
    <cacheField name="Precenger_type clean" numFmtId="0">
      <sharedItems count="4">
        <s v="Adult"/>
        <s v="Child"/>
        <s v="Senior"/>
        <s v="Unknown"/>
      </sharedItems>
    </cacheField>
    <cacheField name="Traval_class clean" numFmtId="0">
      <sharedItems count="3">
        <s v="Economy"/>
        <s v="Unknown"/>
        <s v="Business"/>
      </sharedItems>
    </cacheField>
    <cacheField name="Booking_stustus clean" numFmtId="0">
      <sharedItems count="4">
        <s v="Completed"/>
        <s v="Confirmed"/>
        <s v="Unknown"/>
        <s v="Cancelled"/>
      </sharedItems>
    </cacheField>
    <cacheField name="ROUTE_CLEAN" numFmtId="0">
      <sharedItems count="6">
        <s v="MGQ-HGA"/>
        <s v="MGQ-NBO"/>
        <s v="MGQ-ADD"/>
        <s v="MGQ-BSA"/>
        <s v="MGQ-KMU"/>
        <s v="UNKNOWN"/>
      </sharedItems>
    </cacheField>
    <cacheField name="bookin_id clean" numFmtId="0">
      <sharedItems count="278">
        <s v="ABK00001"/>
        <s v="ABK00002"/>
        <s v="ABK00003"/>
        <s v="ABK00004"/>
        <s v="ABK00005"/>
        <s v="ABK00006"/>
        <s v="ABK00008"/>
        <s v="ABK00009"/>
        <s v="ABK00010"/>
        <s v="ABK00011"/>
        <s v="ABK00012"/>
        <s v="ABK00013"/>
        <s v="ABK00014"/>
        <s v="ABK00015"/>
        <s v="ABK00016"/>
        <s v="ABK00017"/>
        <s v="ABK00018"/>
        <s v="ABK00019"/>
        <s v="ABK00020"/>
        <s v="ABK00021"/>
        <s v="ABK00022"/>
        <s v="ABK00023"/>
        <s v="ABK00026"/>
        <s v="ABK00027"/>
        <s v="ABK00028"/>
        <s v="ABK00029"/>
        <s v="ABK00030"/>
        <s v="ABK00031"/>
        <s v="ABK00032"/>
        <s v="ABK00033"/>
        <s v="ABK00034"/>
        <s v="ABK00035"/>
        <s v="ABK00036"/>
        <s v="ABK00037"/>
        <s v="ABK00038"/>
        <s v="ABK00039"/>
        <s v="ABK00040"/>
        <s v="ABK00041"/>
        <s v="ABK00042"/>
        <s v="ABK00043"/>
        <s v="ABK00044"/>
        <s v="ABK00045"/>
        <s v="ABK00046"/>
        <s v="ABK00047"/>
        <s v="ABK00048"/>
        <s v="ABK00049"/>
        <s v="ABK00050"/>
        <s v="ABK00051"/>
        <s v="ABK00052"/>
        <s v="ABK00053"/>
        <s v="ABK00054"/>
        <s v="ABK00056"/>
        <s v="ABK00057"/>
        <s v="ABK00058"/>
        <s v="ABK00059"/>
        <s v="ABK00060"/>
        <s v="ABK00061"/>
        <s v="ABK00062"/>
        <s v="ABK00063"/>
        <s v="ABK00064"/>
        <s v="ABK00065"/>
        <s v="ABK00066"/>
        <s v="ABK00067"/>
        <s v="ABK00068"/>
        <s v="ABK00069"/>
        <s v="ABK00070"/>
        <s v="ABK00071"/>
        <s v="ABK00072"/>
        <s v="ABK00073"/>
        <s v="ABK00074"/>
        <s v="ABK00075"/>
        <s v="ABK00076"/>
        <s v="ABK00077"/>
        <s v="ABK00078"/>
        <s v="ABK00079"/>
        <s v="ABK00080"/>
        <s v="ABK00081"/>
        <s v="ABK00082"/>
        <s v="ABK00083"/>
        <s v="ABK00084"/>
        <s v="ABK00085"/>
        <s v="ABK00086"/>
        <s v="ABK00087"/>
        <s v="ABK00088"/>
        <s v="ABK00089"/>
        <s v="ABK00090"/>
        <s v="ABK00091"/>
        <s v="ABK00093"/>
        <s v="ABK00094"/>
        <s v="ABK00095"/>
        <s v="ABK00096"/>
        <s v="ABK00097"/>
        <s v="ABK00098"/>
        <s v="ABK00099"/>
        <s v="ABK00100"/>
        <s v="ABK00101"/>
        <s v="ABK00102"/>
        <s v="ABK00103"/>
        <s v="ABK00104"/>
        <s v="ABK00105"/>
        <s v="ABK00106"/>
        <s v="ABK00107"/>
        <s v="ABK00108"/>
        <s v="ABK00109"/>
        <s v="ABK00110"/>
        <s v="ABK00111"/>
        <s v="ABK00112"/>
        <s v="ABK00113"/>
        <s v="ABK00114"/>
        <s v="ABK00116"/>
        <s v="ABK00117"/>
        <s v="ABK00118"/>
        <s v="ABK00119"/>
        <s v="ABK00120"/>
        <s v="ABK00121"/>
        <s v="ABK00122"/>
        <s v="ABK00123"/>
        <s v="ABK00124"/>
        <s v="ABK00125"/>
        <s v="ABK00127"/>
        <s v="ABK00128"/>
        <s v="ABK00129"/>
        <s v="ABK00130"/>
        <s v="ABK00131"/>
        <s v="ABK00132"/>
        <s v="ABK00133"/>
        <s v="ABK00134"/>
        <s v="ABK00135"/>
        <s v="ABK00136"/>
        <s v="ABK00137"/>
        <s v="ABK00138"/>
        <s v="ABK00139"/>
        <s v="ABK00140"/>
        <s v="ABK00141"/>
        <s v="ABK00142"/>
        <s v="ABK00143"/>
        <s v="ABK00144"/>
        <s v="ABK00145"/>
        <s v="ABK00146"/>
        <s v="ABK00147"/>
        <s v="ABK00148"/>
        <s v="ABK00149"/>
        <s v="ABK00150"/>
        <s v="ABK00151"/>
        <s v="ABK00152"/>
        <s v="ABK00153"/>
        <s v="ABK00154"/>
        <s v="ABK00155"/>
        <s v="ABK00156"/>
        <s v="ABK00157"/>
        <s v="ABK00158"/>
        <s v="ABK00159"/>
        <s v="ABK00160"/>
        <s v="ABK00161"/>
        <s v="ABK00162"/>
        <s v="ABK00163"/>
        <s v="ABK00164"/>
        <s v="ABK00165"/>
        <s v="ABK00166"/>
        <s v="ABK00167"/>
        <s v="ABK00168"/>
        <s v="ABK00169"/>
        <s v="ABK00170"/>
        <s v="ABK00171"/>
        <s v="ABK00172"/>
        <s v="ABK00173"/>
        <s v="ABK00174"/>
        <s v="ABK00176"/>
        <s v="ABK00177"/>
        <s v="ABK00178"/>
        <s v="ABK00179"/>
        <s v="ABK00180"/>
        <s v="ABK00181"/>
        <s v="ABK00182"/>
        <s v="ABK00183"/>
        <s v="ABK00185"/>
        <s v="ABK00187"/>
        <s v="ABK00188"/>
        <s v="ABK00189"/>
        <s v="ABK00190"/>
        <s v="ABK00191"/>
        <s v="ABK00192"/>
        <s v="ABK00194"/>
        <s v="ABK00195"/>
        <s v="ABK00196"/>
        <s v="ABK00197"/>
        <s v="ABK00198"/>
        <s v="ABK00199"/>
        <s v="ABK00200"/>
        <s v="ABK00201"/>
        <s v="ABK00202"/>
        <s v="ABK00203"/>
        <s v="ABK00204"/>
        <s v="ABK00205"/>
        <s v="ABK00206"/>
        <s v="ABK00207"/>
        <s v="ABK00208"/>
        <s v="ABK00209"/>
        <s v="ABK00210"/>
        <s v="ABK00211"/>
        <s v="ABK00212"/>
        <s v="ABK00213"/>
        <s v="ABK00214"/>
        <s v="ABK00216"/>
        <s v="ABK00217"/>
        <s v="ABK00218"/>
        <s v="ABK00219"/>
        <s v="ABK00220"/>
        <s v="ABK00221"/>
        <s v="ABK00222"/>
        <s v="ABK00223"/>
        <s v="ABK00224"/>
        <s v="ABK00225"/>
        <s v="ABK00226"/>
        <s v="ABK00227"/>
        <s v="ABK00228"/>
        <s v="ABK00229"/>
        <s v="ABK00230"/>
        <s v="ABK00231"/>
        <s v="ABK00232"/>
        <s v="ABK00233"/>
        <s v="ABK00234"/>
        <s v="ABK00235"/>
        <s v="ABK00236"/>
        <s v="ABK00237"/>
        <s v="ABK00238"/>
        <s v="ABK00239"/>
        <s v="ABK00240"/>
        <s v="ABK00241"/>
        <s v="ABK00242"/>
        <s v="ABK00243"/>
        <s v="ABK00244"/>
        <s v="ABK00245"/>
        <s v="ABK00246"/>
        <s v="ABK00247"/>
        <s v="ABK00248"/>
        <s v="ABK00249"/>
        <s v="ABK00250"/>
        <s v="ABK00251"/>
        <s v="ABK00252"/>
        <s v="ABK00253"/>
        <s v="ABK00254"/>
        <s v="ABK00255"/>
        <s v="ABK00256"/>
        <s v="ABK00257"/>
        <s v="ABK00258"/>
        <s v="ABK00259"/>
        <s v="ABK00260"/>
        <s v="ABK00261"/>
        <s v="ABK00262"/>
        <s v="ABK00263"/>
        <s v="ABK00264"/>
        <s v="ABK00265"/>
        <s v="ABK00266"/>
        <s v="ABK00267"/>
        <s v="ABK00268"/>
        <s v="ABK00269"/>
        <s v="ABK00270"/>
        <s v="ABK00271"/>
        <s v="ABK00272"/>
        <s v="ABK00273"/>
        <s v="ABK00274"/>
        <s v="ABK00275"/>
        <s v="ABK00276"/>
        <s v="ABK00277"/>
        <s v="ABK00279"/>
        <s v="ABK00280"/>
        <s v="ABK00281"/>
        <s v="ABK00284"/>
        <s v="ABK00285"/>
        <s v="ABK00286"/>
        <s v="ABK00287"/>
        <s v="ABK00288"/>
        <s v="ABK00289"/>
        <s v="ABK00290"/>
        <s v="ABK00291"/>
        <s v="ABK00292"/>
        <s v="Unknown"/>
      </sharedItems>
    </cacheField>
    <cacheField name="Quarters" numFmtId="0" databaseField="0">
      <fieldGroup base="1">
        <rangePr groupBy="quarters" startDate="2025-01-03T00:00:00" endDate="2026-07-24T00:00:00"/>
        <groupItems count="6">
          <s v="&lt;1/3/2025"/>
          <s v="Qtr1"/>
          <s v="Qtr2"/>
          <s v="Qtr3"/>
          <s v="Qtr4"/>
          <s v="&gt;7/24/2026"/>
        </groupItems>
      </fieldGroup>
    </cacheField>
    <cacheField name="Years" numFmtId="0" databaseField="0">
      <fieldGroup base="1">
        <rangePr groupBy="years" startDate="2025-01-03T00:00:00" endDate="2026-07-24T00:00:00"/>
        <groupItems count="4">
          <s v="&lt;1/3/2025"/>
          <s v="2025"/>
          <s v="2026"/>
          <s v="&gt;7/24/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92">
  <r>
    <s v="ABK00001"/>
    <x v="0"/>
    <x v="0"/>
    <x v="0"/>
    <x v="0"/>
    <n v="116.16"/>
    <x v="0"/>
    <x v="0"/>
    <x v="0"/>
    <x v="0"/>
    <x v="0"/>
    <x v="0"/>
  </r>
  <r>
    <s v="ABK00002"/>
    <x v="1"/>
    <x v="1"/>
    <x v="0"/>
    <x v="0"/>
    <n v="263.77"/>
    <x v="0"/>
    <x v="0"/>
    <x v="0"/>
    <x v="0"/>
    <x v="1"/>
    <x v="1"/>
  </r>
  <r>
    <s v="ABK00003"/>
    <x v="2"/>
    <x v="2"/>
    <x v="0"/>
    <x v="1"/>
    <n v="274.58"/>
    <x v="1"/>
    <x v="0"/>
    <x v="1"/>
    <x v="1"/>
    <x v="2"/>
    <x v="2"/>
  </r>
  <r>
    <s v="ABK00004"/>
    <x v="3"/>
    <x v="2"/>
    <x v="1"/>
    <x v="2"/>
    <n v="400.49"/>
    <x v="1"/>
    <x v="1"/>
    <x v="2"/>
    <x v="1"/>
    <x v="2"/>
    <x v="3"/>
  </r>
  <r>
    <s v="ABK00005"/>
    <x v="4"/>
    <x v="3"/>
    <x v="0"/>
    <x v="0"/>
    <n v="127.7"/>
    <x v="2"/>
    <x v="0"/>
    <x v="0"/>
    <x v="2"/>
    <x v="3"/>
    <x v="4"/>
  </r>
  <r>
    <s v="ABK00006"/>
    <x v="5"/>
    <x v="3"/>
    <x v="0"/>
    <x v="0"/>
    <n v="123.12"/>
    <x v="0"/>
    <x v="0"/>
    <x v="0"/>
    <x v="0"/>
    <x v="3"/>
    <x v="5"/>
  </r>
  <r>
    <s v="ABK00008"/>
    <x v="6"/>
    <x v="1"/>
    <x v="0"/>
    <x v="2"/>
    <n v="427.82"/>
    <x v="0"/>
    <x v="0"/>
    <x v="2"/>
    <x v="0"/>
    <x v="1"/>
    <x v="6"/>
  </r>
  <r>
    <s v="ABK00009"/>
    <x v="7"/>
    <x v="4"/>
    <x v="0"/>
    <x v="1"/>
    <n v="169.56"/>
    <x v="1"/>
    <x v="0"/>
    <x v="1"/>
    <x v="1"/>
    <x v="4"/>
    <x v="7"/>
  </r>
  <r>
    <s v="ABK00010"/>
    <x v="8"/>
    <x v="2"/>
    <x v="1"/>
    <x v="0"/>
    <n v="255.81"/>
    <x v="3"/>
    <x v="1"/>
    <x v="0"/>
    <x v="3"/>
    <x v="2"/>
    <x v="8"/>
  </r>
  <r>
    <s v="ABK00011"/>
    <x v="9"/>
    <x v="1"/>
    <x v="0"/>
    <x v="0"/>
    <n v="262.08999999999997"/>
    <x v="1"/>
    <x v="0"/>
    <x v="0"/>
    <x v="1"/>
    <x v="1"/>
    <x v="9"/>
  </r>
  <r>
    <s v="ABK00012"/>
    <x v="10"/>
    <x v="3"/>
    <x v="0"/>
    <x v="0"/>
    <n v="105.72"/>
    <x v="0"/>
    <x v="0"/>
    <x v="0"/>
    <x v="0"/>
    <x v="3"/>
    <x v="10"/>
  </r>
  <r>
    <s v="ABK00013"/>
    <x v="11"/>
    <x v="1"/>
    <x v="0"/>
    <x v="2"/>
    <n v="482.08"/>
    <x v="0"/>
    <x v="0"/>
    <x v="2"/>
    <x v="0"/>
    <x v="1"/>
    <x v="11"/>
  </r>
  <r>
    <s v="ABK00014"/>
    <x v="12"/>
    <x v="1"/>
    <x v="0"/>
    <x v="2"/>
    <n v="418.55"/>
    <x v="0"/>
    <x v="0"/>
    <x v="2"/>
    <x v="0"/>
    <x v="1"/>
    <x v="12"/>
  </r>
  <r>
    <s v="ABK00015"/>
    <x v="13"/>
    <x v="4"/>
    <x v="1"/>
    <x v="0"/>
    <n v="83.09"/>
    <x v="1"/>
    <x v="1"/>
    <x v="0"/>
    <x v="1"/>
    <x v="4"/>
    <x v="13"/>
  </r>
  <r>
    <s v="ABK00016"/>
    <x v="14"/>
    <x v="2"/>
    <x v="1"/>
    <x v="0"/>
    <n v="199.01"/>
    <x v="0"/>
    <x v="1"/>
    <x v="0"/>
    <x v="0"/>
    <x v="2"/>
    <x v="14"/>
  </r>
  <r>
    <s v="ABK00017"/>
    <x v="15"/>
    <x v="2"/>
    <x v="0"/>
    <x v="0"/>
    <n v="214.48"/>
    <x v="0"/>
    <x v="0"/>
    <x v="0"/>
    <x v="0"/>
    <x v="2"/>
    <x v="15"/>
  </r>
  <r>
    <s v="ABK00018"/>
    <x v="16"/>
    <x v="4"/>
    <x v="0"/>
    <x v="0"/>
    <n v="103.92"/>
    <x v="0"/>
    <x v="0"/>
    <x v="0"/>
    <x v="0"/>
    <x v="4"/>
    <x v="16"/>
  </r>
  <r>
    <s v="ABK00019"/>
    <x v="17"/>
    <x v="0"/>
    <x v="0"/>
    <x v="0"/>
    <n v="91.22"/>
    <x v="2"/>
    <x v="0"/>
    <x v="0"/>
    <x v="2"/>
    <x v="0"/>
    <x v="17"/>
  </r>
  <r>
    <s v="ABK00020"/>
    <x v="18"/>
    <x v="2"/>
    <x v="0"/>
    <x v="1"/>
    <n v="275.36"/>
    <x v="0"/>
    <x v="0"/>
    <x v="1"/>
    <x v="0"/>
    <x v="2"/>
    <x v="18"/>
  </r>
  <r>
    <s v="ABK00021"/>
    <x v="19"/>
    <x v="0"/>
    <x v="2"/>
    <x v="0"/>
    <n v="105.65"/>
    <x v="0"/>
    <x v="2"/>
    <x v="0"/>
    <x v="0"/>
    <x v="0"/>
    <x v="19"/>
  </r>
  <r>
    <s v="ABK00022"/>
    <x v="20"/>
    <x v="0"/>
    <x v="2"/>
    <x v="0"/>
    <n v="91.83"/>
    <x v="2"/>
    <x v="2"/>
    <x v="0"/>
    <x v="2"/>
    <x v="0"/>
    <x v="20"/>
  </r>
  <r>
    <s v="ABK00023"/>
    <x v="21"/>
    <x v="1"/>
    <x v="0"/>
    <x v="0"/>
    <n v="197.77"/>
    <x v="0"/>
    <x v="0"/>
    <x v="0"/>
    <x v="0"/>
    <x v="1"/>
    <x v="21"/>
  </r>
  <r>
    <s v="ABK00026"/>
    <x v="22"/>
    <x v="1"/>
    <x v="3"/>
    <x v="0"/>
    <n v="270.95"/>
    <x v="1"/>
    <x v="3"/>
    <x v="0"/>
    <x v="1"/>
    <x v="1"/>
    <x v="22"/>
  </r>
  <r>
    <s v="ABK00027"/>
    <x v="23"/>
    <x v="2"/>
    <x v="0"/>
    <x v="0"/>
    <n v="208.22"/>
    <x v="0"/>
    <x v="0"/>
    <x v="0"/>
    <x v="0"/>
    <x v="2"/>
    <x v="23"/>
  </r>
  <r>
    <s v="ABK00028"/>
    <x v="24"/>
    <x v="0"/>
    <x v="0"/>
    <x v="0"/>
    <n v="95.61"/>
    <x v="1"/>
    <x v="0"/>
    <x v="0"/>
    <x v="1"/>
    <x v="0"/>
    <x v="24"/>
  </r>
  <r>
    <s v="ABK00029"/>
    <x v="25"/>
    <x v="1"/>
    <x v="0"/>
    <x v="0"/>
    <n v="195.97"/>
    <x v="3"/>
    <x v="0"/>
    <x v="0"/>
    <x v="3"/>
    <x v="1"/>
    <x v="25"/>
  </r>
  <r>
    <s v="ABK00030"/>
    <x v="26"/>
    <x v="2"/>
    <x v="0"/>
    <x v="1"/>
    <n v="228.18"/>
    <x v="1"/>
    <x v="0"/>
    <x v="1"/>
    <x v="1"/>
    <x v="2"/>
    <x v="26"/>
  </r>
  <r>
    <s v="ABK00031"/>
    <x v="27"/>
    <x v="0"/>
    <x v="3"/>
    <x v="0"/>
    <n v="117.64"/>
    <x v="0"/>
    <x v="3"/>
    <x v="0"/>
    <x v="0"/>
    <x v="0"/>
    <x v="27"/>
  </r>
  <r>
    <s v="ABK00032"/>
    <x v="28"/>
    <x v="2"/>
    <x v="0"/>
    <x v="0"/>
    <n v="254.28"/>
    <x v="3"/>
    <x v="0"/>
    <x v="0"/>
    <x v="3"/>
    <x v="2"/>
    <x v="28"/>
  </r>
  <r>
    <s v="ABK00033"/>
    <x v="29"/>
    <x v="1"/>
    <x v="0"/>
    <x v="0"/>
    <n v="235.81"/>
    <x v="2"/>
    <x v="0"/>
    <x v="0"/>
    <x v="2"/>
    <x v="1"/>
    <x v="29"/>
  </r>
  <r>
    <s v="ABK00034"/>
    <x v="30"/>
    <x v="5"/>
    <x v="0"/>
    <x v="0"/>
    <n v="266.48"/>
    <x v="2"/>
    <x v="0"/>
    <x v="0"/>
    <x v="2"/>
    <x v="5"/>
    <x v="30"/>
  </r>
  <r>
    <s v="ABK00035"/>
    <x v="20"/>
    <x v="1"/>
    <x v="0"/>
    <x v="0"/>
    <n v="269.86"/>
    <x v="2"/>
    <x v="0"/>
    <x v="0"/>
    <x v="2"/>
    <x v="1"/>
    <x v="31"/>
  </r>
  <r>
    <s v="ABK00036"/>
    <x v="31"/>
    <x v="4"/>
    <x v="0"/>
    <x v="0"/>
    <n v="81.88"/>
    <x v="0"/>
    <x v="0"/>
    <x v="0"/>
    <x v="0"/>
    <x v="4"/>
    <x v="32"/>
  </r>
  <r>
    <s v="ABK00037"/>
    <x v="32"/>
    <x v="5"/>
    <x v="0"/>
    <x v="0"/>
    <n v="274.45999999999998"/>
    <x v="1"/>
    <x v="0"/>
    <x v="0"/>
    <x v="1"/>
    <x v="5"/>
    <x v="33"/>
  </r>
  <r>
    <s v="ABK00038"/>
    <x v="33"/>
    <x v="1"/>
    <x v="1"/>
    <x v="0"/>
    <n v="204.43"/>
    <x v="3"/>
    <x v="1"/>
    <x v="0"/>
    <x v="3"/>
    <x v="1"/>
    <x v="34"/>
  </r>
  <r>
    <s v="ABK00039"/>
    <x v="1"/>
    <x v="4"/>
    <x v="1"/>
    <x v="0"/>
    <n v="102.23"/>
    <x v="0"/>
    <x v="1"/>
    <x v="0"/>
    <x v="0"/>
    <x v="4"/>
    <x v="35"/>
  </r>
  <r>
    <s v="ABK00040"/>
    <x v="34"/>
    <x v="4"/>
    <x v="0"/>
    <x v="1"/>
    <n v="81.39"/>
    <x v="3"/>
    <x v="0"/>
    <x v="1"/>
    <x v="3"/>
    <x v="4"/>
    <x v="36"/>
  </r>
  <r>
    <s v="ABK00041"/>
    <x v="1"/>
    <x v="3"/>
    <x v="0"/>
    <x v="0"/>
    <n v="115.36"/>
    <x v="0"/>
    <x v="0"/>
    <x v="0"/>
    <x v="0"/>
    <x v="3"/>
    <x v="37"/>
  </r>
  <r>
    <s v="ABK00042"/>
    <x v="1"/>
    <x v="3"/>
    <x v="0"/>
    <x v="0"/>
    <n v="107.72"/>
    <x v="3"/>
    <x v="0"/>
    <x v="0"/>
    <x v="3"/>
    <x v="3"/>
    <x v="38"/>
  </r>
  <r>
    <s v="ABK00043"/>
    <x v="35"/>
    <x v="3"/>
    <x v="0"/>
    <x v="0"/>
    <n v="111.08"/>
    <x v="0"/>
    <x v="0"/>
    <x v="0"/>
    <x v="0"/>
    <x v="3"/>
    <x v="39"/>
  </r>
  <r>
    <s v="ABK00044"/>
    <x v="36"/>
    <x v="0"/>
    <x v="0"/>
    <x v="0"/>
    <n v="86.88"/>
    <x v="0"/>
    <x v="0"/>
    <x v="0"/>
    <x v="0"/>
    <x v="0"/>
    <x v="40"/>
  </r>
  <r>
    <s v="ABK00045"/>
    <x v="37"/>
    <x v="4"/>
    <x v="3"/>
    <x v="0"/>
    <n v="108.58"/>
    <x v="0"/>
    <x v="3"/>
    <x v="0"/>
    <x v="0"/>
    <x v="4"/>
    <x v="41"/>
  </r>
  <r>
    <s v="ABK00046"/>
    <x v="38"/>
    <x v="1"/>
    <x v="0"/>
    <x v="2"/>
    <n v="458.63"/>
    <x v="2"/>
    <x v="0"/>
    <x v="2"/>
    <x v="2"/>
    <x v="1"/>
    <x v="42"/>
  </r>
  <r>
    <s v="ABK00047"/>
    <x v="1"/>
    <x v="3"/>
    <x v="0"/>
    <x v="0"/>
    <n v="94.82"/>
    <x v="0"/>
    <x v="0"/>
    <x v="0"/>
    <x v="0"/>
    <x v="3"/>
    <x v="43"/>
  </r>
  <r>
    <s v="ABK00048"/>
    <x v="39"/>
    <x v="0"/>
    <x v="0"/>
    <x v="0"/>
    <n v="92.48"/>
    <x v="1"/>
    <x v="0"/>
    <x v="0"/>
    <x v="1"/>
    <x v="0"/>
    <x v="44"/>
  </r>
  <r>
    <s v="ABK00049"/>
    <x v="40"/>
    <x v="2"/>
    <x v="1"/>
    <x v="0"/>
    <n v="255.05"/>
    <x v="1"/>
    <x v="1"/>
    <x v="0"/>
    <x v="1"/>
    <x v="2"/>
    <x v="45"/>
  </r>
  <r>
    <s v="ABK00050"/>
    <x v="41"/>
    <x v="0"/>
    <x v="1"/>
    <x v="0"/>
    <n v="199.01"/>
    <x v="0"/>
    <x v="1"/>
    <x v="0"/>
    <x v="0"/>
    <x v="0"/>
    <x v="46"/>
  </r>
  <r>
    <s v="ABK00051"/>
    <x v="42"/>
    <x v="0"/>
    <x v="0"/>
    <x v="0"/>
    <n v="116.98"/>
    <x v="0"/>
    <x v="0"/>
    <x v="0"/>
    <x v="0"/>
    <x v="0"/>
    <x v="47"/>
  </r>
  <r>
    <s v="ABK00052"/>
    <x v="43"/>
    <x v="4"/>
    <x v="0"/>
    <x v="0"/>
    <n v="96.11"/>
    <x v="1"/>
    <x v="0"/>
    <x v="0"/>
    <x v="1"/>
    <x v="4"/>
    <x v="48"/>
  </r>
  <r>
    <s v="ABK00053"/>
    <x v="42"/>
    <x v="3"/>
    <x v="1"/>
    <x v="0"/>
    <n v="199.01"/>
    <x v="1"/>
    <x v="1"/>
    <x v="0"/>
    <x v="1"/>
    <x v="3"/>
    <x v="49"/>
  </r>
  <r>
    <s v="ABK00054"/>
    <x v="44"/>
    <x v="4"/>
    <x v="0"/>
    <x v="0"/>
    <n v="83.46"/>
    <x v="0"/>
    <x v="0"/>
    <x v="0"/>
    <x v="0"/>
    <x v="4"/>
    <x v="50"/>
  </r>
  <r>
    <s v="ABK00056"/>
    <x v="45"/>
    <x v="0"/>
    <x v="1"/>
    <x v="0"/>
    <n v="87.51"/>
    <x v="1"/>
    <x v="1"/>
    <x v="0"/>
    <x v="1"/>
    <x v="0"/>
    <x v="51"/>
  </r>
  <r>
    <s v="ABK00057"/>
    <x v="6"/>
    <x v="3"/>
    <x v="0"/>
    <x v="0"/>
    <n v="112.24"/>
    <x v="0"/>
    <x v="0"/>
    <x v="0"/>
    <x v="0"/>
    <x v="3"/>
    <x v="52"/>
  </r>
  <r>
    <s v="ABK00058"/>
    <x v="46"/>
    <x v="2"/>
    <x v="0"/>
    <x v="0"/>
    <n v="237.7"/>
    <x v="0"/>
    <x v="0"/>
    <x v="0"/>
    <x v="0"/>
    <x v="2"/>
    <x v="53"/>
  </r>
  <r>
    <s v="ABK00059"/>
    <x v="47"/>
    <x v="1"/>
    <x v="0"/>
    <x v="0"/>
    <n v="261.56"/>
    <x v="0"/>
    <x v="0"/>
    <x v="0"/>
    <x v="0"/>
    <x v="1"/>
    <x v="54"/>
  </r>
  <r>
    <s v="ABK00060"/>
    <x v="48"/>
    <x v="3"/>
    <x v="0"/>
    <x v="0"/>
    <n v="123.39"/>
    <x v="0"/>
    <x v="0"/>
    <x v="0"/>
    <x v="0"/>
    <x v="3"/>
    <x v="55"/>
  </r>
  <r>
    <s v="ABK00061"/>
    <x v="49"/>
    <x v="3"/>
    <x v="0"/>
    <x v="1"/>
    <n v="131.86000000000001"/>
    <x v="0"/>
    <x v="0"/>
    <x v="1"/>
    <x v="0"/>
    <x v="3"/>
    <x v="56"/>
  </r>
  <r>
    <s v="ABK00062"/>
    <x v="50"/>
    <x v="2"/>
    <x v="0"/>
    <x v="0"/>
    <n v="276.32"/>
    <x v="1"/>
    <x v="0"/>
    <x v="0"/>
    <x v="1"/>
    <x v="2"/>
    <x v="57"/>
  </r>
  <r>
    <s v="ABK00063"/>
    <x v="1"/>
    <x v="0"/>
    <x v="0"/>
    <x v="2"/>
    <n v="161.69"/>
    <x v="1"/>
    <x v="0"/>
    <x v="2"/>
    <x v="1"/>
    <x v="0"/>
    <x v="58"/>
  </r>
  <r>
    <s v="ABK00064"/>
    <x v="51"/>
    <x v="5"/>
    <x v="1"/>
    <x v="0"/>
    <n v="126.41"/>
    <x v="0"/>
    <x v="1"/>
    <x v="0"/>
    <x v="0"/>
    <x v="5"/>
    <x v="59"/>
  </r>
  <r>
    <s v="ABK00065"/>
    <x v="52"/>
    <x v="0"/>
    <x v="0"/>
    <x v="2"/>
    <n v="211.49"/>
    <x v="0"/>
    <x v="0"/>
    <x v="2"/>
    <x v="0"/>
    <x v="0"/>
    <x v="60"/>
  </r>
  <r>
    <s v="ABK00066"/>
    <x v="53"/>
    <x v="1"/>
    <x v="0"/>
    <x v="2"/>
    <n v="199.01"/>
    <x v="1"/>
    <x v="0"/>
    <x v="2"/>
    <x v="1"/>
    <x v="1"/>
    <x v="61"/>
  </r>
  <r>
    <s v="ABK00067"/>
    <x v="54"/>
    <x v="3"/>
    <x v="0"/>
    <x v="0"/>
    <n v="131.63"/>
    <x v="1"/>
    <x v="0"/>
    <x v="0"/>
    <x v="1"/>
    <x v="3"/>
    <x v="62"/>
  </r>
  <r>
    <s v="ABK00068"/>
    <x v="20"/>
    <x v="1"/>
    <x v="1"/>
    <x v="0"/>
    <n v="200.6"/>
    <x v="1"/>
    <x v="1"/>
    <x v="0"/>
    <x v="1"/>
    <x v="1"/>
    <x v="63"/>
  </r>
  <r>
    <s v="ABK00069"/>
    <x v="55"/>
    <x v="2"/>
    <x v="0"/>
    <x v="0"/>
    <n v="277.07"/>
    <x v="0"/>
    <x v="0"/>
    <x v="0"/>
    <x v="0"/>
    <x v="2"/>
    <x v="64"/>
  </r>
  <r>
    <s v="ABK00070"/>
    <x v="56"/>
    <x v="2"/>
    <x v="2"/>
    <x v="0"/>
    <n v="287.12"/>
    <x v="1"/>
    <x v="2"/>
    <x v="0"/>
    <x v="1"/>
    <x v="2"/>
    <x v="65"/>
  </r>
  <r>
    <s v="ABK00071"/>
    <x v="57"/>
    <x v="1"/>
    <x v="1"/>
    <x v="0"/>
    <n v="243.52"/>
    <x v="0"/>
    <x v="1"/>
    <x v="0"/>
    <x v="0"/>
    <x v="1"/>
    <x v="66"/>
  </r>
  <r>
    <s v="ABK00072"/>
    <x v="58"/>
    <x v="2"/>
    <x v="2"/>
    <x v="0"/>
    <n v="228.74"/>
    <x v="1"/>
    <x v="2"/>
    <x v="0"/>
    <x v="1"/>
    <x v="2"/>
    <x v="67"/>
  </r>
  <r>
    <s v="ABK00073"/>
    <x v="59"/>
    <x v="2"/>
    <x v="3"/>
    <x v="0"/>
    <n v="281.52999999999997"/>
    <x v="0"/>
    <x v="3"/>
    <x v="0"/>
    <x v="0"/>
    <x v="2"/>
    <x v="68"/>
  </r>
  <r>
    <s v="ABK00074"/>
    <x v="60"/>
    <x v="2"/>
    <x v="0"/>
    <x v="2"/>
    <n v="445.87"/>
    <x v="3"/>
    <x v="0"/>
    <x v="2"/>
    <x v="3"/>
    <x v="2"/>
    <x v="69"/>
  </r>
  <r>
    <s v="ABK00075"/>
    <x v="61"/>
    <x v="0"/>
    <x v="0"/>
    <x v="1"/>
    <n v="95.2"/>
    <x v="0"/>
    <x v="0"/>
    <x v="1"/>
    <x v="0"/>
    <x v="0"/>
    <x v="70"/>
  </r>
  <r>
    <s v="ABK00076"/>
    <x v="54"/>
    <x v="1"/>
    <x v="1"/>
    <x v="0"/>
    <n v="188.64"/>
    <x v="1"/>
    <x v="1"/>
    <x v="0"/>
    <x v="1"/>
    <x v="1"/>
    <x v="71"/>
  </r>
  <r>
    <s v="ABK00077"/>
    <x v="35"/>
    <x v="1"/>
    <x v="0"/>
    <x v="0"/>
    <n v="210.03"/>
    <x v="0"/>
    <x v="0"/>
    <x v="0"/>
    <x v="0"/>
    <x v="1"/>
    <x v="72"/>
  </r>
  <r>
    <s v="ABK00078"/>
    <x v="62"/>
    <x v="5"/>
    <x v="0"/>
    <x v="2"/>
    <n v="189.4"/>
    <x v="0"/>
    <x v="0"/>
    <x v="2"/>
    <x v="0"/>
    <x v="5"/>
    <x v="73"/>
  </r>
  <r>
    <s v="ABK00079"/>
    <x v="41"/>
    <x v="4"/>
    <x v="0"/>
    <x v="0"/>
    <n v="99.46"/>
    <x v="0"/>
    <x v="0"/>
    <x v="0"/>
    <x v="0"/>
    <x v="4"/>
    <x v="74"/>
  </r>
  <r>
    <s v="ABK00080"/>
    <x v="63"/>
    <x v="1"/>
    <x v="0"/>
    <x v="0"/>
    <n v="251.62"/>
    <x v="0"/>
    <x v="0"/>
    <x v="0"/>
    <x v="0"/>
    <x v="1"/>
    <x v="75"/>
  </r>
  <r>
    <s v="ABK00081"/>
    <x v="64"/>
    <x v="0"/>
    <x v="2"/>
    <x v="0"/>
    <n v="89.64"/>
    <x v="0"/>
    <x v="2"/>
    <x v="0"/>
    <x v="0"/>
    <x v="0"/>
    <x v="76"/>
  </r>
  <r>
    <s v="ABK00082"/>
    <x v="65"/>
    <x v="1"/>
    <x v="0"/>
    <x v="0"/>
    <n v="202.96"/>
    <x v="0"/>
    <x v="0"/>
    <x v="0"/>
    <x v="0"/>
    <x v="1"/>
    <x v="77"/>
  </r>
  <r>
    <s v="ABK00083"/>
    <x v="66"/>
    <x v="1"/>
    <x v="0"/>
    <x v="0"/>
    <n v="194.15"/>
    <x v="0"/>
    <x v="0"/>
    <x v="0"/>
    <x v="0"/>
    <x v="1"/>
    <x v="78"/>
  </r>
  <r>
    <s v="ABK00084"/>
    <x v="67"/>
    <x v="0"/>
    <x v="0"/>
    <x v="0"/>
    <n v="100.76"/>
    <x v="0"/>
    <x v="0"/>
    <x v="0"/>
    <x v="0"/>
    <x v="0"/>
    <x v="79"/>
  </r>
  <r>
    <s v="ABK00085"/>
    <x v="68"/>
    <x v="3"/>
    <x v="0"/>
    <x v="0"/>
    <n v="108.69"/>
    <x v="1"/>
    <x v="0"/>
    <x v="0"/>
    <x v="1"/>
    <x v="3"/>
    <x v="80"/>
  </r>
  <r>
    <s v="ABK00086"/>
    <x v="69"/>
    <x v="4"/>
    <x v="1"/>
    <x v="0"/>
    <n v="106.86"/>
    <x v="3"/>
    <x v="1"/>
    <x v="0"/>
    <x v="3"/>
    <x v="4"/>
    <x v="81"/>
  </r>
  <r>
    <s v="ABK00087"/>
    <x v="70"/>
    <x v="0"/>
    <x v="3"/>
    <x v="0"/>
    <n v="98.84"/>
    <x v="1"/>
    <x v="3"/>
    <x v="0"/>
    <x v="1"/>
    <x v="0"/>
    <x v="82"/>
  </r>
  <r>
    <s v="ABK00088"/>
    <x v="71"/>
    <x v="3"/>
    <x v="0"/>
    <x v="0"/>
    <n v="133.66"/>
    <x v="0"/>
    <x v="0"/>
    <x v="0"/>
    <x v="0"/>
    <x v="3"/>
    <x v="83"/>
  </r>
  <r>
    <s v="ABK00089"/>
    <x v="72"/>
    <x v="3"/>
    <x v="3"/>
    <x v="0"/>
    <n v="123.37"/>
    <x v="0"/>
    <x v="3"/>
    <x v="0"/>
    <x v="0"/>
    <x v="3"/>
    <x v="84"/>
  </r>
  <r>
    <s v="ABK00090"/>
    <x v="73"/>
    <x v="0"/>
    <x v="0"/>
    <x v="0"/>
    <n v="97.35"/>
    <x v="1"/>
    <x v="0"/>
    <x v="0"/>
    <x v="1"/>
    <x v="0"/>
    <x v="85"/>
  </r>
  <r>
    <s v="ABK00091"/>
    <x v="74"/>
    <x v="0"/>
    <x v="0"/>
    <x v="0"/>
    <n v="113.95"/>
    <x v="0"/>
    <x v="0"/>
    <x v="0"/>
    <x v="0"/>
    <x v="0"/>
    <x v="86"/>
  </r>
  <r>
    <s v="ABK00093"/>
    <x v="75"/>
    <x v="1"/>
    <x v="0"/>
    <x v="0"/>
    <n v="218"/>
    <x v="0"/>
    <x v="0"/>
    <x v="0"/>
    <x v="0"/>
    <x v="1"/>
    <x v="87"/>
  </r>
  <r>
    <s v="ABK00094"/>
    <x v="1"/>
    <x v="1"/>
    <x v="0"/>
    <x v="0"/>
    <n v="195.07"/>
    <x v="1"/>
    <x v="0"/>
    <x v="0"/>
    <x v="1"/>
    <x v="1"/>
    <x v="88"/>
  </r>
  <r>
    <s v="ABK00095"/>
    <x v="76"/>
    <x v="4"/>
    <x v="0"/>
    <x v="2"/>
    <n v="190.51"/>
    <x v="3"/>
    <x v="0"/>
    <x v="2"/>
    <x v="3"/>
    <x v="4"/>
    <x v="89"/>
  </r>
  <r>
    <s v="ABK00096"/>
    <x v="77"/>
    <x v="0"/>
    <x v="0"/>
    <x v="2"/>
    <n v="177.95"/>
    <x v="3"/>
    <x v="0"/>
    <x v="2"/>
    <x v="3"/>
    <x v="0"/>
    <x v="90"/>
  </r>
  <r>
    <s v="ABK00097"/>
    <x v="78"/>
    <x v="0"/>
    <x v="2"/>
    <x v="0"/>
    <n v="101.68"/>
    <x v="0"/>
    <x v="2"/>
    <x v="0"/>
    <x v="0"/>
    <x v="0"/>
    <x v="91"/>
  </r>
  <r>
    <s v="ABK00098"/>
    <x v="79"/>
    <x v="3"/>
    <x v="0"/>
    <x v="0"/>
    <n v="132.96"/>
    <x v="3"/>
    <x v="0"/>
    <x v="0"/>
    <x v="3"/>
    <x v="3"/>
    <x v="92"/>
  </r>
  <r>
    <s v="ABK00099"/>
    <x v="80"/>
    <x v="1"/>
    <x v="0"/>
    <x v="0"/>
    <n v="199.01"/>
    <x v="0"/>
    <x v="0"/>
    <x v="0"/>
    <x v="0"/>
    <x v="1"/>
    <x v="93"/>
  </r>
  <r>
    <s v="ABK00100"/>
    <x v="81"/>
    <x v="1"/>
    <x v="1"/>
    <x v="0"/>
    <n v="227.4"/>
    <x v="1"/>
    <x v="1"/>
    <x v="0"/>
    <x v="1"/>
    <x v="1"/>
    <x v="94"/>
  </r>
  <r>
    <s v="ABK00101"/>
    <x v="82"/>
    <x v="3"/>
    <x v="0"/>
    <x v="0"/>
    <n v="121.12"/>
    <x v="0"/>
    <x v="0"/>
    <x v="0"/>
    <x v="0"/>
    <x v="3"/>
    <x v="95"/>
  </r>
  <r>
    <s v="ABK00102"/>
    <x v="83"/>
    <x v="5"/>
    <x v="0"/>
    <x v="0"/>
    <n v="85.04"/>
    <x v="1"/>
    <x v="0"/>
    <x v="0"/>
    <x v="1"/>
    <x v="5"/>
    <x v="96"/>
  </r>
  <r>
    <s v="ABK00103"/>
    <x v="84"/>
    <x v="4"/>
    <x v="0"/>
    <x v="0"/>
    <n v="199.01"/>
    <x v="1"/>
    <x v="0"/>
    <x v="0"/>
    <x v="1"/>
    <x v="4"/>
    <x v="97"/>
  </r>
  <r>
    <s v="ABK00104"/>
    <x v="85"/>
    <x v="2"/>
    <x v="0"/>
    <x v="0"/>
    <n v="232.11"/>
    <x v="1"/>
    <x v="0"/>
    <x v="0"/>
    <x v="1"/>
    <x v="2"/>
    <x v="98"/>
  </r>
  <r>
    <s v="ABK00105"/>
    <x v="36"/>
    <x v="2"/>
    <x v="0"/>
    <x v="0"/>
    <n v="232.69"/>
    <x v="0"/>
    <x v="0"/>
    <x v="0"/>
    <x v="0"/>
    <x v="2"/>
    <x v="99"/>
  </r>
  <r>
    <s v="ABK00106"/>
    <x v="86"/>
    <x v="0"/>
    <x v="0"/>
    <x v="0"/>
    <n v="102.25"/>
    <x v="2"/>
    <x v="0"/>
    <x v="0"/>
    <x v="2"/>
    <x v="0"/>
    <x v="100"/>
  </r>
  <r>
    <s v="ABK00107"/>
    <x v="87"/>
    <x v="2"/>
    <x v="0"/>
    <x v="0"/>
    <n v="293.93"/>
    <x v="0"/>
    <x v="0"/>
    <x v="0"/>
    <x v="0"/>
    <x v="2"/>
    <x v="101"/>
  </r>
  <r>
    <s v="ABK00108"/>
    <x v="88"/>
    <x v="5"/>
    <x v="0"/>
    <x v="0"/>
    <n v="107.62"/>
    <x v="0"/>
    <x v="0"/>
    <x v="0"/>
    <x v="0"/>
    <x v="5"/>
    <x v="102"/>
  </r>
  <r>
    <s v="ABK00109"/>
    <x v="27"/>
    <x v="4"/>
    <x v="0"/>
    <x v="0"/>
    <n v="1018"/>
    <x v="1"/>
    <x v="0"/>
    <x v="0"/>
    <x v="1"/>
    <x v="4"/>
    <x v="103"/>
  </r>
  <r>
    <s v="ABK00110"/>
    <x v="79"/>
    <x v="3"/>
    <x v="0"/>
    <x v="0"/>
    <n v="129.03"/>
    <x v="1"/>
    <x v="0"/>
    <x v="0"/>
    <x v="1"/>
    <x v="3"/>
    <x v="104"/>
  </r>
  <r>
    <s v="ABK00111"/>
    <x v="27"/>
    <x v="5"/>
    <x v="0"/>
    <x v="0"/>
    <n v="106.88"/>
    <x v="0"/>
    <x v="0"/>
    <x v="0"/>
    <x v="0"/>
    <x v="5"/>
    <x v="105"/>
  </r>
  <r>
    <s v="ABK00112"/>
    <x v="89"/>
    <x v="1"/>
    <x v="2"/>
    <x v="0"/>
    <n v="192.68"/>
    <x v="0"/>
    <x v="2"/>
    <x v="0"/>
    <x v="0"/>
    <x v="1"/>
    <x v="106"/>
  </r>
  <r>
    <s v="ABK00113"/>
    <x v="90"/>
    <x v="0"/>
    <x v="0"/>
    <x v="0"/>
    <n v="81.23"/>
    <x v="2"/>
    <x v="0"/>
    <x v="0"/>
    <x v="2"/>
    <x v="0"/>
    <x v="107"/>
  </r>
  <r>
    <s v="ABK00114"/>
    <x v="91"/>
    <x v="2"/>
    <x v="0"/>
    <x v="2"/>
    <n v="556.80999999999995"/>
    <x v="0"/>
    <x v="0"/>
    <x v="2"/>
    <x v="0"/>
    <x v="2"/>
    <x v="108"/>
  </r>
  <r>
    <s v="ABK00116"/>
    <x v="63"/>
    <x v="1"/>
    <x v="3"/>
    <x v="2"/>
    <n v="446.86"/>
    <x v="0"/>
    <x v="3"/>
    <x v="2"/>
    <x v="0"/>
    <x v="1"/>
    <x v="109"/>
  </r>
  <r>
    <s v="ABK00117"/>
    <x v="92"/>
    <x v="2"/>
    <x v="1"/>
    <x v="1"/>
    <n v="257.73"/>
    <x v="1"/>
    <x v="1"/>
    <x v="1"/>
    <x v="1"/>
    <x v="2"/>
    <x v="110"/>
  </r>
  <r>
    <s v="ABK00118"/>
    <x v="1"/>
    <x v="0"/>
    <x v="1"/>
    <x v="0"/>
    <n v="91.64"/>
    <x v="0"/>
    <x v="1"/>
    <x v="0"/>
    <x v="0"/>
    <x v="0"/>
    <x v="111"/>
  </r>
  <r>
    <s v="ABK00119"/>
    <x v="93"/>
    <x v="2"/>
    <x v="1"/>
    <x v="0"/>
    <n v="234.74"/>
    <x v="1"/>
    <x v="1"/>
    <x v="0"/>
    <x v="1"/>
    <x v="2"/>
    <x v="112"/>
  </r>
  <r>
    <s v="ABK00120"/>
    <x v="33"/>
    <x v="2"/>
    <x v="0"/>
    <x v="0"/>
    <n v="296.62"/>
    <x v="0"/>
    <x v="0"/>
    <x v="0"/>
    <x v="0"/>
    <x v="2"/>
    <x v="113"/>
  </r>
  <r>
    <s v="ABK00121"/>
    <x v="94"/>
    <x v="5"/>
    <x v="0"/>
    <x v="2"/>
    <n v="198.94"/>
    <x v="3"/>
    <x v="0"/>
    <x v="2"/>
    <x v="3"/>
    <x v="5"/>
    <x v="114"/>
  </r>
  <r>
    <s v="ABK00122"/>
    <x v="1"/>
    <x v="0"/>
    <x v="0"/>
    <x v="0"/>
    <n v="199.01"/>
    <x v="1"/>
    <x v="0"/>
    <x v="0"/>
    <x v="1"/>
    <x v="0"/>
    <x v="115"/>
  </r>
  <r>
    <s v="ABK00123"/>
    <x v="95"/>
    <x v="3"/>
    <x v="0"/>
    <x v="0"/>
    <n v="118.49"/>
    <x v="0"/>
    <x v="0"/>
    <x v="0"/>
    <x v="0"/>
    <x v="3"/>
    <x v="116"/>
  </r>
  <r>
    <s v="ABK00124"/>
    <x v="96"/>
    <x v="1"/>
    <x v="0"/>
    <x v="2"/>
    <n v="380.87"/>
    <x v="1"/>
    <x v="0"/>
    <x v="2"/>
    <x v="1"/>
    <x v="1"/>
    <x v="117"/>
  </r>
  <r>
    <s v="ABK00125"/>
    <x v="38"/>
    <x v="5"/>
    <x v="0"/>
    <x v="0"/>
    <n v="243.15"/>
    <x v="0"/>
    <x v="0"/>
    <x v="0"/>
    <x v="0"/>
    <x v="5"/>
    <x v="118"/>
  </r>
  <r>
    <s v="ABK00127"/>
    <x v="97"/>
    <x v="1"/>
    <x v="0"/>
    <x v="2"/>
    <n v="419.29"/>
    <x v="1"/>
    <x v="0"/>
    <x v="2"/>
    <x v="1"/>
    <x v="1"/>
    <x v="119"/>
  </r>
  <r>
    <s v="ABK00128"/>
    <x v="81"/>
    <x v="3"/>
    <x v="0"/>
    <x v="2"/>
    <n v="211.7"/>
    <x v="0"/>
    <x v="0"/>
    <x v="2"/>
    <x v="0"/>
    <x v="3"/>
    <x v="120"/>
  </r>
  <r>
    <s v="ABK00129"/>
    <x v="98"/>
    <x v="1"/>
    <x v="0"/>
    <x v="0"/>
    <n v="243.07"/>
    <x v="0"/>
    <x v="0"/>
    <x v="0"/>
    <x v="0"/>
    <x v="1"/>
    <x v="121"/>
  </r>
  <r>
    <s v="ABK00130"/>
    <x v="99"/>
    <x v="0"/>
    <x v="0"/>
    <x v="0"/>
    <n v="96.93"/>
    <x v="3"/>
    <x v="0"/>
    <x v="0"/>
    <x v="3"/>
    <x v="0"/>
    <x v="122"/>
  </r>
  <r>
    <s v="ABK00131"/>
    <x v="100"/>
    <x v="3"/>
    <x v="0"/>
    <x v="0"/>
    <n v="97.63"/>
    <x v="1"/>
    <x v="0"/>
    <x v="0"/>
    <x v="1"/>
    <x v="3"/>
    <x v="123"/>
  </r>
  <r>
    <s v="ABK00132"/>
    <x v="101"/>
    <x v="0"/>
    <x v="0"/>
    <x v="0"/>
    <n v="106.06"/>
    <x v="1"/>
    <x v="0"/>
    <x v="0"/>
    <x v="1"/>
    <x v="0"/>
    <x v="124"/>
  </r>
  <r>
    <s v="ABK00133"/>
    <x v="102"/>
    <x v="3"/>
    <x v="0"/>
    <x v="0"/>
    <n v="119.88"/>
    <x v="0"/>
    <x v="0"/>
    <x v="0"/>
    <x v="0"/>
    <x v="3"/>
    <x v="125"/>
  </r>
  <r>
    <s v="ABK00134"/>
    <x v="103"/>
    <x v="0"/>
    <x v="3"/>
    <x v="0"/>
    <n v="85.9"/>
    <x v="1"/>
    <x v="3"/>
    <x v="0"/>
    <x v="1"/>
    <x v="0"/>
    <x v="126"/>
  </r>
  <r>
    <s v="ABK00135"/>
    <x v="6"/>
    <x v="0"/>
    <x v="0"/>
    <x v="0"/>
    <n v="96.79"/>
    <x v="1"/>
    <x v="0"/>
    <x v="0"/>
    <x v="1"/>
    <x v="0"/>
    <x v="127"/>
  </r>
  <r>
    <s v="ABK00136"/>
    <x v="104"/>
    <x v="4"/>
    <x v="0"/>
    <x v="0"/>
    <n v="94.35"/>
    <x v="1"/>
    <x v="0"/>
    <x v="0"/>
    <x v="1"/>
    <x v="4"/>
    <x v="128"/>
  </r>
  <r>
    <s v="ABK00137"/>
    <x v="105"/>
    <x v="0"/>
    <x v="3"/>
    <x v="0"/>
    <n v="101"/>
    <x v="3"/>
    <x v="3"/>
    <x v="0"/>
    <x v="3"/>
    <x v="0"/>
    <x v="129"/>
  </r>
  <r>
    <s v="ABK00138"/>
    <x v="106"/>
    <x v="1"/>
    <x v="0"/>
    <x v="0"/>
    <n v="238.54"/>
    <x v="1"/>
    <x v="0"/>
    <x v="0"/>
    <x v="1"/>
    <x v="1"/>
    <x v="130"/>
  </r>
  <r>
    <s v="ABK00139"/>
    <x v="107"/>
    <x v="4"/>
    <x v="2"/>
    <x v="1"/>
    <n v="91.04"/>
    <x v="0"/>
    <x v="2"/>
    <x v="1"/>
    <x v="0"/>
    <x v="4"/>
    <x v="131"/>
  </r>
  <r>
    <s v="ABK00140"/>
    <x v="5"/>
    <x v="4"/>
    <x v="0"/>
    <x v="1"/>
    <n v="85.69"/>
    <x v="1"/>
    <x v="0"/>
    <x v="1"/>
    <x v="1"/>
    <x v="4"/>
    <x v="132"/>
  </r>
  <r>
    <s v="ABK00141"/>
    <x v="45"/>
    <x v="1"/>
    <x v="0"/>
    <x v="0"/>
    <n v="255.24"/>
    <x v="0"/>
    <x v="0"/>
    <x v="0"/>
    <x v="0"/>
    <x v="1"/>
    <x v="133"/>
  </r>
  <r>
    <s v="ABK00142"/>
    <x v="108"/>
    <x v="4"/>
    <x v="0"/>
    <x v="0"/>
    <n v="78.78"/>
    <x v="0"/>
    <x v="0"/>
    <x v="0"/>
    <x v="0"/>
    <x v="4"/>
    <x v="134"/>
  </r>
  <r>
    <s v="ABK00143"/>
    <x v="109"/>
    <x v="2"/>
    <x v="0"/>
    <x v="0"/>
    <n v="235.06"/>
    <x v="0"/>
    <x v="0"/>
    <x v="0"/>
    <x v="0"/>
    <x v="2"/>
    <x v="135"/>
  </r>
  <r>
    <s v="ABK00144"/>
    <x v="110"/>
    <x v="0"/>
    <x v="0"/>
    <x v="0"/>
    <n v="86.3"/>
    <x v="0"/>
    <x v="0"/>
    <x v="0"/>
    <x v="0"/>
    <x v="0"/>
    <x v="136"/>
  </r>
  <r>
    <s v="ABK00145"/>
    <x v="111"/>
    <x v="1"/>
    <x v="0"/>
    <x v="0"/>
    <n v="231.65"/>
    <x v="1"/>
    <x v="0"/>
    <x v="0"/>
    <x v="1"/>
    <x v="1"/>
    <x v="137"/>
  </r>
  <r>
    <s v="ABK00146"/>
    <x v="32"/>
    <x v="1"/>
    <x v="0"/>
    <x v="0"/>
    <n v="199.01"/>
    <x v="0"/>
    <x v="0"/>
    <x v="0"/>
    <x v="0"/>
    <x v="1"/>
    <x v="138"/>
  </r>
  <r>
    <s v="ABK00147"/>
    <x v="112"/>
    <x v="4"/>
    <x v="0"/>
    <x v="0"/>
    <n v="90.1"/>
    <x v="0"/>
    <x v="0"/>
    <x v="0"/>
    <x v="0"/>
    <x v="4"/>
    <x v="139"/>
  </r>
  <r>
    <s v="ABK00148"/>
    <x v="113"/>
    <x v="0"/>
    <x v="0"/>
    <x v="0"/>
    <n v="117.7"/>
    <x v="2"/>
    <x v="0"/>
    <x v="0"/>
    <x v="2"/>
    <x v="0"/>
    <x v="140"/>
  </r>
  <r>
    <s v="ABK00149"/>
    <x v="114"/>
    <x v="3"/>
    <x v="0"/>
    <x v="0"/>
    <n v="124.97"/>
    <x v="0"/>
    <x v="0"/>
    <x v="0"/>
    <x v="0"/>
    <x v="3"/>
    <x v="141"/>
  </r>
  <r>
    <s v="ABK00150"/>
    <x v="115"/>
    <x v="1"/>
    <x v="0"/>
    <x v="2"/>
    <n v="406.61"/>
    <x v="2"/>
    <x v="0"/>
    <x v="2"/>
    <x v="2"/>
    <x v="1"/>
    <x v="142"/>
  </r>
  <r>
    <s v="ABK00151"/>
    <x v="116"/>
    <x v="1"/>
    <x v="0"/>
    <x v="2"/>
    <n v="492.68"/>
    <x v="1"/>
    <x v="0"/>
    <x v="2"/>
    <x v="1"/>
    <x v="1"/>
    <x v="143"/>
  </r>
  <r>
    <s v="ABK00152"/>
    <x v="117"/>
    <x v="4"/>
    <x v="0"/>
    <x v="0"/>
    <n v="101.45"/>
    <x v="1"/>
    <x v="0"/>
    <x v="0"/>
    <x v="1"/>
    <x v="4"/>
    <x v="144"/>
  </r>
  <r>
    <s v="ABK00153"/>
    <x v="44"/>
    <x v="3"/>
    <x v="0"/>
    <x v="0"/>
    <n v="137.24"/>
    <x v="0"/>
    <x v="0"/>
    <x v="0"/>
    <x v="0"/>
    <x v="3"/>
    <x v="145"/>
  </r>
  <r>
    <s v="ABK00154"/>
    <x v="118"/>
    <x v="1"/>
    <x v="1"/>
    <x v="0"/>
    <n v="250.23"/>
    <x v="0"/>
    <x v="1"/>
    <x v="0"/>
    <x v="0"/>
    <x v="1"/>
    <x v="146"/>
  </r>
  <r>
    <s v="ABK00155"/>
    <x v="75"/>
    <x v="0"/>
    <x v="2"/>
    <x v="0"/>
    <n v="99.81"/>
    <x v="0"/>
    <x v="2"/>
    <x v="0"/>
    <x v="0"/>
    <x v="0"/>
    <x v="147"/>
  </r>
  <r>
    <s v="ABK00156"/>
    <x v="119"/>
    <x v="4"/>
    <x v="0"/>
    <x v="0"/>
    <n v="103.54"/>
    <x v="2"/>
    <x v="0"/>
    <x v="0"/>
    <x v="2"/>
    <x v="4"/>
    <x v="148"/>
  </r>
  <r>
    <s v="ABK00157"/>
    <x v="120"/>
    <x v="0"/>
    <x v="3"/>
    <x v="0"/>
    <n v="89.2"/>
    <x v="1"/>
    <x v="3"/>
    <x v="0"/>
    <x v="1"/>
    <x v="0"/>
    <x v="149"/>
  </r>
  <r>
    <s v="ABK00158"/>
    <x v="121"/>
    <x v="1"/>
    <x v="0"/>
    <x v="2"/>
    <n v="464.55"/>
    <x v="0"/>
    <x v="0"/>
    <x v="2"/>
    <x v="0"/>
    <x v="1"/>
    <x v="150"/>
  </r>
  <r>
    <s v="ABK00159"/>
    <x v="122"/>
    <x v="1"/>
    <x v="0"/>
    <x v="2"/>
    <n v="462.98"/>
    <x v="0"/>
    <x v="0"/>
    <x v="2"/>
    <x v="0"/>
    <x v="1"/>
    <x v="151"/>
  </r>
  <r>
    <s v="ABK00160"/>
    <x v="123"/>
    <x v="5"/>
    <x v="0"/>
    <x v="0"/>
    <n v="105.34"/>
    <x v="1"/>
    <x v="0"/>
    <x v="0"/>
    <x v="1"/>
    <x v="5"/>
    <x v="152"/>
  </r>
  <r>
    <s v="ABK00161"/>
    <x v="124"/>
    <x v="1"/>
    <x v="0"/>
    <x v="0"/>
    <n v="271.20999999999998"/>
    <x v="0"/>
    <x v="0"/>
    <x v="0"/>
    <x v="0"/>
    <x v="1"/>
    <x v="153"/>
  </r>
  <r>
    <s v="ABK00162"/>
    <x v="8"/>
    <x v="2"/>
    <x v="2"/>
    <x v="0"/>
    <n v="233.61"/>
    <x v="3"/>
    <x v="2"/>
    <x v="0"/>
    <x v="3"/>
    <x v="2"/>
    <x v="154"/>
  </r>
  <r>
    <s v="ABK00163"/>
    <x v="125"/>
    <x v="1"/>
    <x v="2"/>
    <x v="0"/>
    <n v="191.9"/>
    <x v="1"/>
    <x v="2"/>
    <x v="0"/>
    <x v="1"/>
    <x v="1"/>
    <x v="155"/>
  </r>
  <r>
    <s v="ABK00164"/>
    <x v="126"/>
    <x v="1"/>
    <x v="1"/>
    <x v="2"/>
    <n v="436.07"/>
    <x v="1"/>
    <x v="1"/>
    <x v="2"/>
    <x v="1"/>
    <x v="1"/>
    <x v="156"/>
  </r>
  <r>
    <s v="ABK00165"/>
    <x v="127"/>
    <x v="2"/>
    <x v="0"/>
    <x v="0"/>
    <n v="281.02999999999997"/>
    <x v="1"/>
    <x v="0"/>
    <x v="0"/>
    <x v="1"/>
    <x v="2"/>
    <x v="157"/>
  </r>
  <r>
    <s v="ABK00166"/>
    <x v="128"/>
    <x v="1"/>
    <x v="3"/>
    <x v="0"/>
    <n v="215"/>
    <x v="1"/>
    <x v="3"/>
    <x v="0"/>
    <x v="1"/>
    <x v="1"/>
    <x v="158"/>
  </r>
  <r>
    <s v="ABK00167"/>
    <x v="129"/>
    <x v="0"/>
    <x v="0"/>
    <x v="2"/>
    <n v="203.04"/>
    <x v="3"/>
    <x v="0"/>
    <x v="2"/>
    <x v="3"/>
    <x v="0"/>
    <x v="159"/>
  </r>
  <r>
    <s v="ABK00168"/>
    <x v="130"/>
    <x v="3"/>
    <x v="0"/>
    <x v="2"/>
    <n v="211.82"/>
    <x v="0"/>
    <x v="0"/>
    <x v="2"/>
    <x v="0"/>
    <x v="3"/>
    <x v="160"/>
  </r>
  <r>
    <s v="ABK00169"/>
    <x v="131"/>
    <x v="2"/>
    <x v="0"/>
    <x v="0"/>
    <n v="274.17"/>
    <x v="1"/>
    <x v="0"/>
    <x v="0"/>
    <x v="1"/>
    <x v="2"/>
    <x v="161"/>
  </r>
  <r>
    <s v="ABK00170"/>
    <x v="67"/>
    <x v="1"/>
    <x v="0"/>
    <x v="0"/>
    <n v="194.84"/>
    <x v="3"/>
    <x v="0"/>
    <x v="0"/>
    <x v="3"/>
    <x v="1"/>
    <x v="162"/>
  </r>
  <r>
    <s v="ABK00171"/>
    <x v="132"/>
    <x v="3"/>
    <x v="0"/>
    <x v="0"/>
    <n v="106.84"/>
    <x v="0"/>
    <x v="0"/>
    <x v="0"/>
    <x v="0"/>
    <x v="3"/>
    <x v="163"/>
  </r>
  <r>
    <s v="ABK00172"/>
    <x v="133"/>
    <x v="5"/>
    <x v="0"/>
    <x v="0"/>
    <n v="79.55"/>
    <x v="1"/>
    <x v="0"/>
    <x v="0"/>
    <x v="1"/>
    <x v="5"/>
    <x v="164"/>
  </r>
  <r>
    <s v="ABK00173"/>
    <x v="134"/>
    <x v="1"/>
    <x v="0"/>
    <x v="0"/>
    <n v="237.56"/>
    <x v="0"/>
    <x v="0"/>
    <x v="0"/>
    <x v="0"/>
    <x v="1"/>
    <x v="165"/>
  </r>
  <r>
    <s v="ABK00174"/>
    <x v="135"/>
    <x v="4"/>
    <x v="0"/>
    <x v="0"/>
    <n v="83.61"/>
    <x v="0"/>
    <x v="0"/>
    <x v="0"/>
    <x v="0"/>
    <x v="4"/>
    <x v="166"/>
  </r>
  <r>
    <s v="ABK00176"/>
    <x v="136"/>
    <x v="0"/>
    <x v="0"/>
    <x v="0"/>
    <n v="199.01"/>
    <x v="0"/>
    <x v="0"/>
    <x v="0"/>
    <x v="0"/>
    <x v="0"/>
    <x v="167"/>
  </r>
  <r>
    <s v="ABK00177"/>
    <x v="137"/>
    <x v="1"/>
    <x v="0"/>
    <x v="0"/>
    <n v="190.16"/>
    <x v="0"/>
    <x v="0"/>
    <x v="0"/>
    <x v="0"/>
    <x v="1"/>
    <x v="168"/>
  </r>
  <r>
    <s v="ABK00178"/>
    <x v="1"/>
    <x v="1"/>
    <x v="0"/>
    <x v="0"/>
    <n v="266.04000000000002"/>
    <x v="0"/>
    <x v="0"/>
    <x v="0"/>
    <x v="0"/>
    <x v="1"/>
    <x v="169"/>
  </r>
  <r>
    <s v="ABK00179"/>
    <x v="138"/>
    <x v="1"/>
    <x v="0"/>
    <x v="0"/>
    <n v="194.56"/>
    <x v="0"/>
    <x v="0"/>
    <x v="0"/>
    <x v="0"/>
    <x v="1"/>
    <x v="170"/>
  </r>
  <r>
    <s v="ABK00180"/>
    <x v="1"/>
    <x v="1"/>
    <x v="1"/>
    <x v="0"/>
    <n v="243.14"/>
    <x v="0"/>
    <x v="1"/>
    <x v="0"/>
    <x v="0"/>
    <x v="1"/>
    <x v="171"/>
  </r>
  <r>
    <s v="ABK00181"/>
    <x v="56"/>
    <x v="2"/>
    <x v="0"/>
    <x v="0"/>
    <n v="277.38"/>
    <x v="0"/>
    <x v="0"/>
    <x v="0"/>
    <x v="0"/>
    <x v="2"/>
    <x v="172"/>
  </r>
  <r>
    <s v="ABK00182"/>
    <x v="53"/>
    <x v="0"/>
    <x v="0"/>
    <x v="2"/>
    <n v="203.29"/>
    <x v="0"/>
    <x v="0"/>
    <x v="2"/>
    <x v="0"/>
    <x v="0"/>
    <x v="173"/>
  </r>
  <r>
    <s v="ABK00183"/>
    <x v="44"/>
    <x v="3"/>
    <x v="1"/>
    <x v="0"/>
    <n v="127.62"/>
    <x v="0"/>
    <x v="1"/>
    <x v="0"/>
    <x v="0"/>
    <x v="3"/>
    <x v="174"/>
  </r>
  <r>
    <s v="ABK00185"/>
    <x v="139"/>
    <x v="2"/>
    <x v="0"/>
    <x v="2"/>
    <n v="199.01"/>
    <x v="0"/>
    <x v="0"/>
    <x v="2"/>
    <x v="0"/>
    <x v="2"/>
    <x v="175"/>
  </r>
  <r>
    <s v="ABK00187"/>
    <x v="140"/>
    <x v="2"/>
    <x v="1"/>
    <x v="0"/>
    <n v="266.49"/>
    <x v="0"/>
    <x v="1"/>
    <x v="0"/>
    <x v="0"/>
    <x v="2"/>
    <x v="176"/>
  </r>
  <r>
    <s v="ABK00188"/>
    <x v="141"/>
    <x v="2"/>
    <x v="0"/>
    <x v="0"/>
    <n v="228.9"/>
    <x v="0"/>
    <x v="0"/>
    <x v="0"/>
    <x v="0"/>
    <x v="2"/>
    <x v="177"/>
  </r>
  <r>
    <s v="ABK00189"/>
    <x v="1"/>
    <x v="2"/>
    <x v="2"/>
    <x v="0"/>
    <n v="244.48"/>
    <x v="1"/>
    <x v="2"/>
    <x v="0"/>
    <x v="1"/>
    <x v="2"/>
    <x v="178"/>
  </r>
  <r>
    <s v="ABK00190"/>
    <x v="142"/>
    <x v="2"/>
    <x v="1"/>
    <x v="0"/>
    <n v="254.76"/>
    <x v="0"/>
    <x v="1"/>
    <x v="0"/>
    <x v="0"/>
    <x v="2"/>
    <x v="179"/>
  </r>
  <r>
    <s v="ABK00191"/>
    <x v="143"/>
    <x v="1"/>
    <x v="1"/>
    <x v="0"/>
    <n v="199.01"/>
    <x v="0"/>
    <x v="1"/>
    <x v="0"/>
    <x v="0"/>
    <x v="1"/>
    <x v="180"/>
  </r>
  <r>
    <s v="ABK00192"/>
    <x v="144"/>
    <x v="3"/>
    <x v="0"/>
    <x v="0"/>
    <n v="99.92"/>
    <x v="3"/>
    <x v="0"/>
    <x v="0"/>
    <x v="3"/>
    <x v="3"/>
    <x v="181"/>
  </r>
  <r>
    <s v="ABK00194"/>
    <x v="132"/>
    <x v="1"/>
    <x v="0"/>
    <x v="0"/>
    <n v="257.51"/>
    <x v="0"/>
    <x v="0"/>
    <x v="0"/>
    <x v="0"/>
    <x v="1"/>
    <x v="182"/>
  </r>
  <r>
    <s v="ABK00195"/>
    <x v="145"/>
    <x v="1"/>
    <x v="0"/>
    <x v="0"/>
    <n v="205.78"/>
    <x v="3"/>
    <x v="0"/>
    <x v="0"/>
    <x v="3"/>
    <x v="1"/>
    <x v="183"/>
  </r>
  <r>
    <s v="ABK00196"/>
    <x v="1"/>
    <x v="3"/>
    <x v="1"/>
    <x v="2"/>
    <n v="192.44"/>
    <x v="1"/>
    <x v="1"/>
    <x v="2"/>
    <x v="1"/>
    <x v="3"/>
    <x v="184"/>
  </r>
  <r>
    <s v="ABK00197"/>
    <x v="146"/>
    <x v="1"/>
    <x v="0"/>
    <x v="0"/>
    <n v="237.5"/>
    <x v="0"/>
    <x v="0"/>
    <x v="0"/>
    <x v="0"/>
    <x v="1"/>
    <x v="185"/>
  </r>
  <r>
    <s v="ABK00198"/>
    <x v="147"/>
    <x v="2"/>
    <x v="1"/>
    <x v="0"/>
    <n v="287.48"/>
    <x v="1"/>
    <x v="1"/>
    <x v="0"/>
    <x v="1"/>
    <x v="2"/>
    <x v="186"/>
  </r>
  <r>
    <s v="ABK00199"/>
    <x v="132"/>
    <x v="1"/>
    <x v="2"/>
    <x v="0"/>
    <n v="213.92"/>
    <x v="0"/>
    <x v="2"/>
    <x v="0"/>
    <x v="0"/>
    <x v="1"/>
    <x v="187"/>
  </r>
  <r>
    <s v="ABK00200"/>
    <x v="148"/>
    <x v="1"/>
    <x v="0"/>
    <x v="0"/>
    <n v="258.45999999999998"/>
    <x v="0"/>
    <x v="0"/>
    <x v="0"/>
    <x v="0"/>
    <x v="1"/>
    <x v="188"/>
  </r>
  <r>
    <s v="ABK00201"/>
    <x v="149"/>
    <x v="1"/>
    <x v="0"/>
    <x v="0"/>
    <n v="193.73"/>
    <x v="0"/>
    <x v="0"/>
    <x v="0"/>
    <x v="0"/>
    <x v="1"/>
    <x v="189"/>
  </r>
  <r>
    <s v="ABK00202"/>
    <x v="150"/>
    <x v="1"/>
    <x v="0"/>
    <x v="2"/>
    <n v="382.28"/>
    <x v="0"/>
    <x v="0"/>
    <x v="2"/>
    <x v="0"/>
    <x v="1"/>
    <x v="190"/>
  </r>
  <r>
    <s v="ABK00203"/>
    <x v="119"/>
    <x v="3"/>
    <x v="2"/>
    <x v="0"/>
    <n v="100.83"/>
    <x v="0"/>
    <x v="2"/>
    <x v="0"/>
    <x v="0"/>
    <x v="3"/>
    <x v="191"/>
  </r>
  <r>
    <s v="ABK00204"/>
    <x v="131"/>
    <x v="3"/>
    <x v="0"/>
    <x v="0"/>
    <n v="133.18"/>
    <x v="0"/>
    <x v="0"/>
    <x v="0"/>
    <x v="0"/>
    <x v="3"/>
    <x v="192"/>
  </r>
  <r>
    <s v="ABK00205"/>
    <x v="151"/>
    <x v="4"/>
    <x v="0"/>
    <x v="0"/>
    <n v="107.13"/>
    <x v="1"/>
    <x v="0"/>
    <x v="0"/>
    <x v="1"/>
    <x v="4"/>
    <x v="193"/>
  </r>
  <r>
    <s v="ABK00206"/>
    <x v="45"/>
    <x v="1"/>
    <x v="0"/>
    <x v="0"/>
    <n v="215.11"/>
    <x v="1"/>
    <x v="0"/>
    <x v="0"/>
    <x v="1"/>
    <x v="1"/>
    <x v="194"/>
  </r>
  <r>
    <s v="ABK00207"/>
    <x v="31"/>
    <x v="3"/>
    <x v="1"/>
    <x v="0"/>
    <n v="106.73"/>
    <x v="0"/>
    <x v="1"/>
    <x v="0"/>
    <x v="0"/>
    <x v="3"/>
    <x v="195"/>
  </r>
  <r>
    <s v="ABK00208"/>
    <x v="87"/>
    <x v="3"/>
    <x v="0"/>
    <x v="1"/>
    <n v="115.45"/>
    <x v="3"/>
    <x v="0"/>
    <x v="1"/>
    <x v="3"/>
    <x v="3"/>
    <x v="196"/>
  </r>
  <r>
    <s v="ABK00209"/>
    <x v="152"/>
    <x v="0"/>
    <x v="0"/>
    <x v="0"/>
    <n v="105.01"/>
    <x v="2"/>
    <x v="0"/>
    <x v="0"/>
    <x v="2"/>
    <x v="0"/>
    <x v="197"/>
  </r>
  <r>
    <s v="ABK00210"/>
    <x v="153"/>
    <x v="0"/>
    <x v="0"/>
    <x v="2"/>
    <n v="222.33"/>
    <x v="0"/>
    <x v="0"/>
    <x v="2"/>
    <x v="0"/>
    <x v="0"/>
    <x v="198"/>
  </r>
  <r>
    <s v="ABK00211"/>
    <x v="131"/>
    <x v="1"/>
    <x v="0"/>
    <x v="0"/>
    <n v="228.1"/>
    <x v="0"/>
    <x v="0"/>
    <x v="0"/>
    <x v="0"/>
    <x v="1"/>
    <x v="199"/>
  </r>
  <r>
    <s v="ABK00212"/>
    <x v="154"/>
    <x v="1"/>
    <x v="0"/>
    <x v="0"/>
    <n v="199.01"/>
    <x v="0"/>
    <x v="0"/>
    <x v="0"/>
    <x v="0"/>
    <x v="1"/>
    <x v="200"/>
  </r>
  <r>
    <s v="ABK00213"/>
    <x v="155"/>
    <x v="2"/>
    <x v="0"/>
    <x v="0"/>
    <n v="291.02"/>
    <x v="3"/>
    <x v="0"/>
    <x v="0"/>
    <x v="3"/>
    <x v="2"/>
    <x v="201"/>
  </r>
  <r>
    <s v="ABK00214"/>
    <x v="156"/>
    <x v="3"/>
    <x v="0"/>
    <x v="2"/>
    <n v="218.33"/>
    <x v="0"/>
    <x v="0"/>
    <x v="2"/>
    <x v="0"/>
    <x v="3"/>
    <x v="202"/>
  </r>
  <r>
    <s v="ABK00216"/>
    <x v="157"/>
    <x v="5"/>
    <x v="1"/>
    <x v="0"/>
    <n v="110.77"/>
    <x v="1"/>
    <x v="1"/>
    <x v="0"/>
    <x v="1"/>
    <x v="5"/>
    <x v="203"/>
  </r>
  <r>
    <s v="ABK00217"/>
    <x v="158"/>
    <x v="1"/>
    <x v="0"/>
    <x v="0"/>
    <n v="215.51"/>
    <x v="0"/>
    <x v="0"/>
    <x v="0"/>
    <x v="0"/>
    <x v="1"/>
    <x v="204"/>
  </r>
  <r>
    <s v="ABK00218"/>
    <x v="159"/>
    <x v="0"/>
    <x v="0"/>
    <x v="0"/>
    <n v="116.57"/>
    <x v="2"/>
    <x v="0"/>
    <x v="0"/>
    <x v="2"/>
    <x v="0"/>
    <x v="205"/>
  </r>
  <r>
    <s v="ABK00219"/>
    <x v="1"/>
    <x v="3"/>
    <x v="0"/>
    <x v="0"/>
    <n v="118.52"/>
    <x v="0"/>
    <x v="0"/>
    <x v="0"/>
    <x v="0"/>
    <x v="3"/>
    <x v="206"/>
  </r>
  <r>
    <s v="ABK00220"/>
    <x v="8"/>
    <x v="1"/>
    <x v="0"/>
    <x v="0"/>
    <n v="259.44"/>
    <x v="0"/>
    <x v="0"/>
    <x v="0"/>
    <x v="0"/>
    <x v="1"/>
    <x v="207"/>
  </r>
  <r>
    <s v="ABK00221"/>
    <x v="104"/>
    <x v="0"/>
    <x v="0"/>
    <x v="0"/>
    <n v="199.01"/>
    <x v="3"/>
    <x v="0"/>
    <x v="0"/>
    <x v="3"/>
    <x v="0"/>
    <x v="208"/>
  </r>
  <r>
    <s v="ABK00222"/>
    <x v="160"/>
    <x v="2"/>
    <x v="0"/>
    <x v="0"/>
    <n v="262.62"/>
    <x v="0"/>
    <x v="0"/>
    <x v="0"/>
    <x v="0"/>
    <x v="2"/>
    <x v="209"/>
  </r>
  <r>
    <s v="ABK00223"/>
    <x v="161"/>
    <x v="0"/>
    <x v="0"/>
    <x v="0"/>
    <n v="199.01"/>
    <x v="0"/>
    <x v="0"/>
    <x v="0"/>
    <x v="0"/>
    <x v="0"/>
    <x v="210"/>
  </r>
  <r>
    <s v="ABK00224"/>
    <x v="96"/>
    <x v="3"/>
    <x v="0"/>
    <x v="0"/>
    <n v="101.11"/>
    <x v="0"/>
    <x v="0"/>
    <x v="0"/>
    <x v="0"/>
    <x v="3"/>
    <x v="211"/>
  </r>
  <r>
    <s v="ABK00225"/>
    <x v="162"/>
    <x v="5"/>
    <x v="0"/>
    <x v="0"/>
    <n v="216.54"/>
    <x v="0"/>
    <x v="0"/>
    <x v="0"/>
    <x v="0"/>
    <x v="5"/>
    <x v="212"/>
  </r>
  <r>
    <s v="ABK00226"/>
    <x v="163"/>
    <x v="1"/>
    <x v="0"/>
    <x v="2"/>
    <n v="438.62"/>
    <x v="0"/>
    <x v="0"/>
    <x v="2"/>
    <x v="0"/>
    <x v="1"/>
    <x v="213"/>
  </r>
  <r>
    <s v="ABK00227"/>
    <x v="164"/>
    <x v="1"/>
    <x v="0"/>
    <x v="0"/>
    <n v="266.08999999999997"/>
    <x v="2"/>
    <x v="0"/>
    <x v="0"/>
    <x v="2"/>
    <x v="1"/>
    <x v="214"/>
  </r>
  <r>
    <s v="ABK00228"/>
    <x v="165"/>
    <x v="3"/>
    <x v="1"/>
    <x v="0"/>
    <n v="199.01"/>
    <x v="0"/>
    <x v="1"/>
    <x v="0"/>
    <x v="0"/>
    <x v="3"/>
    <x v="215"/>
  </r>
  <r>
    <s v="ABK00229"/>
    <x v="166"/>
    <x v="0"/>
    <x v="0"/>
    <x v="0"/>
    <n v="109.8"/>
    <x v="1"/>
    <x v="0"/>
    <x v="0"/>
    <x v="1"/>
    <x v="0"/>
    <x v="216"/>
  </r>
  <r>
    <s v="ABK00230"/>
    <x v="31"/>
    <x v="5"/>
    <x v="0"/>
    <x v="2"/>
    <n v="413.39"/>
    <x v="1"/>
    <x v="0"/>
    <x v="2"/>
    <x v="1"/>
    <x v="5"/>
    <x v="217"/>
  </r>
  <r>
    <s v="ABK00231"/>
    <x v="167"/>
    <x v="2"/>
    <x v="0"/>
    <x v="0"/>
    <n v="273.64"/>
    <x v="0"/>
    <x v="0"/>
    <x v="0"/>
    <x v="0"/>
    <x v="2"/>
    <x v="218"/>
  </r>
  <r>
    <s v="ABK00232"/>
    <x v="168"/>
    <x v="4"/>
    <x v="0"/>
    <x v="0"/>
    <n v="96.72"/>
    <x v="3"/>
    <x v="0"/>
    <x v="0"/>
    <x v="3"/>
    <x v="4"/>
    <x v="219"/>
  </r>
  <r>
    <s v="ABK00233"/>
    <x v="169"/>
    <x v="3"/>
    <x v="0"/>
    <x v="0"/>
    <n v="130.04"/>
    <x v="0"/>
    <x v="0"/>
    <x v="0"/>
    <x v="0"/>
    <x v="3"/>
    <x v="220"/>
  </r>
  <r>
    <s v="ABK00234"/>
    <x v="77"/>
    <x v="1"/>
    <x v="0"/>
    <x v="1"/>
    <n v="240.98"/>
    <x v="0"/>
    <x v="0"/>
    <x v="1"/>
    <x v="0"/>
    <x v="1"/>
    <x v="221"/>
  </r>
  <r>
    <s v="ABK00235"/>
    <x v="170"/>
    <x v="0"/>
    <x v="2"/>
    <x v="0"/>
    <n v="83.73"/>
    <x v="2"/>
    <x v="2"/>
    <x v="0"/>
    <x v="2"/>
    <x v="0"/>
    <x v="222"/>
  </r>
  <r>
    <s v="ABK00236"/>
    <x v="100"/>
    <x v="1"/>
    <x v="0"/>
    <x v="2"/>
    <n v="454.37"/>
    <x v="3"/>
    <x v="0"/>
    <x v="2"/>
    <x v="3"/>
    <x v="1"/>
    <x v="223"/>
  </r>
  <r>
    <s v="ABK00237"/>
    <x v="171"/>
    <x v="2"/>
    <x v="0"/>
    <x v="0"/>
    <n v="242.01"/>
    <x v="0"/>
    <x v="0"/>
    <x v="0"/>
    <x v="0"/>
    <x v="2"/>
    <x v="224"/>
  </r>
  <r>
    <s v="ABK00238"/>
    <x v="1"/>
    <x v="2"/>
    <x v="0"/>
    <x v="0"/>
    <n v="241.42"/>
    <x v="0"/>
    <x v="0"/>
    <x v="0"/>
    <x v="0"/>
    <x v="2"/>
    <x v="225"/>
  </r>
  <r>
    <s v="ABK00239"/>
    <x v="172"/>
    <x v="1"/>
    <x v="0"/>
    <x v="0"/>
    <n v="260.14"/>
    <x v="1"/>
    <x v="0"/>
    <x v="0"/>
    <x v="1"/>
    <x v="1"/>
    <x v="226"/>
  </r>
  <r>
    <s v="ABK00240"/>
    <x v="173"/>
    <x v="1"/>
    <x v="0"/>
    <x v="1"/>
    <n v="-7"/>
    <x v="1"/>
    <x v="0"/>
    <x v="1"/>
    <x v="1"/>
    <x v="1"/>
    <x v="227"/>
  </r>
  <r>
    <s v="ABK00241"/>
    <x v="174"/>
    <x v="1"/>
    <x v="0"/>
    <x v="0"/>
    <n v="199.01"/>
    <x v="0"/>
    <x v="0"/>
    <x v="0"/>
    <x v="0"/>
    <x v="1"/>
    <x v="228"/>
  </r>
  <r>
    <s v="ABK00242"/>
    <x v="89"/>
    <x v="0"/>
    <x v="1"/>
    <x v="0"/>
    <n v="112.52"/>
    <x v="0"/>
    <x v="1"/>
    <x v="0"/>
    <x v="0"/>
    <x v="0"/>
    <x v="229"/>
  </r>
  <r>
    <s v="ABK00243"/>
    <x v="175"/>
    <x v="1"/>
    <x v="0"/>
    <x v="0"/>
    <n v="210.9"/>
    <x v="1"/>
    <x v="0"/>
    <x v="0"/>
    <x v="1"/>
    <x v="1"/>
    <x v="230"/>
  </r>
  <r>
    <s v="ABK00244"/>
    <x v="176"/>
    <x v="4"/>
    <x v="0"/>
    <x v="0"/>
    <n v="82.61"/>
    <x v="0"/>
    <x v="0"/>
    <x v="0"/>
    <x v="0"/>
    <x v="4"/>
    <x v="231"/>
  </r>
  <r>
    <s v="ABK00245"/>
    <x v="104"/>
    <x v="4"/>
    <x v="1"/>
    <x v="2"/>
    <n v="186.38"/>
    <x v="3"/>
    <x v="1"/>
    <x v="2"/>
    <x v="3"/>
    <x v="4"/>
    <x v="232"/>
  </r>
  <r>
    <s v="ABK00246"/>
    <x v="104"/>
    <x v="0"/>
    <x v="0"/>
    <x v="0"/>
    <n v="88.64"/>
    <x v="1"/>
    <x v="0"/>
    <x v="0"/>
    <x v="1"/>
    <x v="0"/>
    <x v="233"/>
  </r>
  <r>
    <s v="ABK00247"/>
    <x v="1"/>
    <x v="0"/>
    <x v="1"/>
    <x v="2"/>
    <n v="224.87"/>
    <x v="3"/>
    <x v="1"/>
    <x v="2"/>
    <x v="3"/>
    <x v="0"/>
    <x v="234"/>
  </r>
  <r>
    <s v="ABK00248"/>
    <x v="87"/>
    <x v="2"/>
    <x v="2"/>
    <x v="0"/>
    <n v="214.42"/>
    <x v="0"/>
    <x v="2"/>
    <x v="0"/>
    <x v="0"/>
    <x v="2"/>
    <x v="235"/>
  </r>
  <r>
    <s v="ABK00249"/>
    <x v="177"/>
    <x v="0"/>
    <x v="0"/>
    <x v="0"/>
    <n v="199.01"/>
    <x v="0"/>
    <x v="0"/>
    <x v="0"/>
    <x v="0"/>
    <x v="0"/>
    <x v="236"/>
  </r>
  <r>
    <s v="ABK00250"/>
    <x v="178"/>
    <x v="2"/>
    <x v="0"/>
    <x v="1"/>
    <n v="205.7"/>
    <x v="3"/>
    <x v="0"/>
    <x v="1"/>
    <x v="3"/>
    <x v="2"/>
    <x v="237"/>
  </r>
  <r>
    <s v="ABK00251"/>
    <x v="133"/>
    <x v="1"/>
    <x v="0"/>
    <x v="0"/>
    <n v="230.22"/>
    <x v="1"/>
    <x v="0"/>
    <x v="0"/>
    <x v="1"/>
    <x v="1"/>
    <x v="238"/>
  </r>
  <r>
    <s v="ABK00252"/>
    <x v="179"/>
    <x v="2"/>
    <x v="0"/>
    <x v="0"/>
    <n v="220.99"/>
    <x v="1"/>
    <x v="0"/>
    <x v="0"/>
    <x v="1"/>
    <x v="2"/>
    <x v="239"/>
  </r>
  <r>
    <s v="ABK00253"/>
    <x v="15"/>
    <x v="1"/>
    <x v="0"/>
    <x v="0"/>
    <n v="196.83"/>
    <x v="2"/>
    <x v="0"/>
    <x v="0"/>
    <x v="2"/>
    <x v="1"/>
    <x v="240"/>
  </r>
  <r>
    <s v="ABK00254"/>
    <x v="180"/>
    <x v="5"/>
    <x v="0"/>
    <x v="0"/>
    <n v="78.260000000000005"/>
    <x v="3"/>
    <x v="0"/>
    <x v="0"/>
    <x v="3"/>
    <x v="5"/>
    <x v="241"/>
  </r>
  <r>
    <s v="ABK00255"/>
    <x v="1"/>
    <x v="2"/>
    <x v="0"/>
    <x v="0"/>
    <n v="289.69"/>
    <x v="1"/>
    <x v="0"/>
    <x v="0"/>
    <x v="1"/>
    <x v="2"/>
    <x v="242"/>
  </r>
  <r>
    <s v="ABK00256"/>
    <x v="181"/>
    <x v="1"/>
    <x v="2"/>
    <x v="0"/>
    <n v="244.68"/>
    <x v="1"/>
    <x v="2"/>
    <x v="0"/>
    <x v="1"/>
    <x v="1"/>
    <x v="243"/>
  </r>
  <r>
    <s v="ABK00257"/>
    <x v="182"/>
    <x v="0"/>
    <x v="0"/>
    <x v="2"/>
    <n v="198.57"/>
    <x v="0"/>
    <x v="0"/>
    <x v="2"/>
    <x v="0"/>
    <x v="0"/>
    <x v="244"/>
  </r>
  <r>
    <s v="ABK00258"/>
    <x v="1"/>
    <x v="4"/>
    <x v="1"/>
    <x v="2"/>
    <n v="199.01"/>
    <x v="0"/>
    <x v="1"/>
    <x v="2"/>
    <x v="0"/>
    <x v="4"/>
    <x v="245"/>
  </r>
  <r>
    <s v="ABK00259"/>
    <x v="183"/>
    <x v="3"/>
    <x v="1"/>
    <x v="0"/>
    <n v="132.97"/>
    <x v="0"/>
    <x v="1"/>
    <x v="0"/>
    <x v="0"/>
    <x v="3"/>
    <x v="246"/>
  </r>
  <r>
    <s v="ABK00260"/>
    <x v="1"/>
    <x v="2"/>
    <x v="0"/>
    <x v="0"/>
    <n v="296.2"/>
    <x v="3"/>
    <x v="0"/>
    <x v="0"/>
    <x v="3"/>
    <x v="2"/>
    <x v="247"/>
  </r>
  <r>
    <s v="ABK00261"/>
    <x v="93"/>
    <x v="2"/>
    <x v="0"/>
    <x v="0"/>
    <n v="263.25"/>
    <x v="3"/>
    <x v="0"/>
    <x v="0"/>
    <x v="3"/>
    <x v="2"/>
    <x v="248"/>
  </r>
  <r>
    <s v="ABK00262"/>
    <x v="184"/>
    <x v="5"/>
    <x v="0"/>
    <x v="0"/>
    <n v="123.56"/>
    <x v="0"/>
    <x v="0"/>
    <x v="0"/>
    <x v="0"/>
    <x v="5"/>
    <x v="249"/>
  </r>
  <r>
    <s v="ABK00263"/>
    <x v="185"/>
    <x v="1"/>
    <x v="0"/>
    <x v="0"/>
    <n v="212.25"/>
    <x v="0"/>
    <x v="0"/>
    <x v="0"/>
    <x v="0"/>
    <x v="1"/>
    <x v="250"/>
  </r>
  <r>
    <s v="ABK00264"/>
    <x v="29"/>
    <x v="1"/>
    <x v="0"/>
    <x v="0"/>
    <n v="261.37"/>
    <x v="0"/>
    <x v="0"/>
    <x v="0"/>
    <x v="0"/>
    <x v="1"/>
    <x v="251"/>
  </r>
  <r>
    <s v="ABK00265"/>
    <x v="186"/>
    <x v="0"/>
    <x v="3"/>
    <x v="0"/>
    <n v="81.37"/>
    <x v="0"/>
    <x v="3"/>
    <x v="0"/>
    <x v="0"/>
    <x v="0"/>
    <x v="252"/>
  </r>
  <r>
    <s v="ABK00266"/>
    <x v="187"/>
    <x v="1"/>
    <x v="0"/>
    <x v="0"/>
    <n v="266.23"/>
    <x v="0"/>
    <x v="0"/>
    <x v="0"/>
    <x v="0"/>
    <x v="1"/>
    <x v="253"/>
  </r>
  <r>
    <s v="ABK00267"/>
    <x v="1"/>
    <x v="4"/>
    <x v="0"/>
    <x v="0"/>
    <n v="81.53"/>
    <x v="2"/>
    <x v="0"/>
    <x v="0"/>
    <x v="2"/>
    <x v="4"/>
    <x v="254"/>
  </r>
  <r>
    <s v="ABK00268"/>
    <x v="188"/>
    <x v="1"/>
    <x v="0"/>
    <x v="1"/>
    <n v="201.58"/>
    <x v="1"/>
    <x v="0"/>
    <x v="1"/>
    <x v="1"/>
    <x v="1"/>
    <x v="255"/>
  </r>
  <r>
    <s v="ABK00269"/>
    <x v="87"/>
    <x v="0"/>
    <x v="0"/>
    <x v="2"/>
    <n v="185.23"/>
    <x v="1"/>
    <x v="0"/>
    <x v="2"/>
    <x v="1"/>
    <x v="0"/>
    <x v="256"/>
  </r>
  <r>
    <s v="ABK00270"/>
    <x v="189"/>
    <x v="1"/>
    <x v="0"/>
    <x v="0"/>
    <n v="190.36"/>
    <x v="2"/>
    <x v="0"/>
    <x v="0"/>
    <x v="2"/>
    <x v="1"/>
    <x v="257"/>
  </r>
  <r>
    <s v="ABK00271"/>
    <x v="159"/>
    <x v="2"/>
    <x v="0"/>
    <x v="0"/>
    <n v="294.14999999999998"/>
    <x v="1"/>
    <x v="0"/>
    <x v="0"/>
    <x v="1"/>
    <x v="2"/>
    <x v="258"/>
  </r>
  <r>
    <s v="ABK00272"/>
    <x v="190"/>
    <x v="0"/>
    <x v="3"/>
    <x v="0"/>
    <n v="81.63"/>
    <x v="0"/>
    <x v="3"/>
    <x v="0"/>
    <x v="0"/>
    <x v="0"/>
    <x v="259"/>
  </r>
  <r>
    <s v="ABK00273"/>
    <x v="51"/>
    <x v="2"/>
    <x v="0"/>
    <x v="0"/>
    <n v="209.84"/>
    <x v="0"/>
    <x v="0"/>
    <x v="0"/>
    <x v="0"/>
    <x v="2"/>
    <x v="260"/>
  </r>
  <r>
    <s v="ABK00274"/>
    <x v="115"/>
    <x v="1"/>
    <x v="1"/>
    <x v="0"/>
    <n v="250.25"/>
    <x v="0"/>
    <x v="1"/>
    <x v="0"/>
    <x v="0"/>
    <x v="1"/>
    <x v="261"/>
  </r>
  <r>
    <s v="ABK00275"/>
    <x v="191"/>
    <x v="1"/>
    <x v="0"/>
    <x v="2"/>
    <n v="427.93"/>
    <x v="2"/>
    <x v="0"/>
    <x v="2"/>
    <x v="2"/>
    <x v="1"/>
    <x v="262"/>
  </r>
  <r>
    <s v="ABK00276"/>
    <x v="1"/>
    <x v="2"/>
    <x v="2"/>
    <x v="0"/>
    <n v="225.05"/>
    <x v="1"/>
    <x v="2"/>
    <x v="0"/>
    <x v="1"/>
    <x v="2"/>
    <x v="263"/>
  </r>
  <r>
    <s v="ABK00277"/>
    <x v="192"/>
    <x v="2"/>
    <x v="0"/>
    <x v="0"/>
    <n v="224.79"/>
    <x v="0"/>
    <x v="0"/>
    <x v="0"/>
    <x v="0"/>
    <x v="2"/>
    <x v="264"/>
  </r>
  <r>
    <s v="ABK00279"/>
    <x v="128"/>
    <x v="4"/>
    <x v="0"/>
    <x v="0"/>
    <n v="90.59"/>
    <x v="1"/>
    <x v="0"/>
    <x v="0"/>
    <x v="1"/>
    <x v="4"/>
    <x v="265"/>
  </r>
  <r>
    <s v="ABK00280"/>
    <x v="1"/>
    <x v="1"/>
    <x v="0"/>
    <x v="2"/>
    <n v="424.29"/>
    <x v="1"/>
    <x v="0"/>
    <x v="2"/>
    <x v="1"/>
    <x v="1"/>
    <x v="266"/>
  </r>
  <r>
    <s v="ABK00281"/>
    <x v="193"/>
    <x v="4"/>
    <x v="1"/>
    <x v="0"/>
    <n v="78.36"/>
    <x v="0"/>
    <x v="1"/>
    <x v="0"/>
    <x v="0"/>
    <x v="4"/>
    <x v="267"/>
  </r>
  <r>
    <s v="ABK00284"/>
    <x v="194"/>
    <x v="3"/>
    <x v="0"/>
    <x v="2"/>
    <n v="219.89"/>
    <x v="2"/>
    <x v="0"/>
    <x v="2"/>
    <x v="2"/>
    <x v="3"/>
    <x v="268"/>
  </r>
  <r>
    <s v="ABK00285"/>
    <x v="195"/>
    <x v="5"/>
    <x v="2"/>
    <x v="0"/>
    <n v="101.48"/>
    <x v="1"/>
    <x v="2"/>
    <x v="0"/>
    <x v="1"/>
    <x v="5"/>
    <x v="269"/>
  </r>
  <r>
    <s v="ABK00286"/>
    <x v="80"/>
    <x v="2"/>
    <x v="0"/>
    <x v="0"/>
    <n v="291.08"/>
    <x v="0"/>
    <x v="0"/>
    <x v="0"/>
    <x v="0"/>
    <x v="2"/>
    <x v="270"/>
  </r>
  <r>
    <s v="ABK00287"/>
    <x v="196"/>
    <x v="0"/>
    <x v="3"/>
    <x v="2"/>
    <n v="208.46"/>
    <x v="0"/>
    <x v="3"/>
    <x v="2"/>
    <x v="0"/>
    <x v="0"/>
    <x v="271"/>
  </r>
  <r>
    <s v="ABK00288"/>
    <x v="77"/>
    <x v="1"/>
    <x v="0"/>
    <x v="0"/>
    <n v="194.39"/>
    <x v="0"/>
    <x v="0"/>
    <x v="0"/>
    <x v="0"/>
    <x v="1"/>
    <x v="272"/>
  </r>
  <r>
    <s v="ABK00289"/>
    <x v="197"/>
    <x v="2"/>
    <x v="0"/>
    <x v="0"/>
    <n v="297.72000000000003"/>
    <x v="0"/>
    <x v="0"/>
    <x v="0"/>
    <x v="0"/>
    <x v="2"/>
    <x v="273"/>
  </r>
  <r>
    <s v="ABK00290"/>
    <x v="198"/>
    <x v="2"/>
    <x v="3"/>
    <x v="2"/>
    <n v="482.4"/>
    <x v="1"/>
    <x v="3"/>
    <x v="2"/>
    <x v="1"/>
    <x v="2"/>
    <x v="274"/>
  </r>
  <r>
    <s v="ABK00291"/>
    <x v="199"/>
    <x v="2"/>
    <x v="0"/>
    <x v="0"/>
    <n v="236.07"/>
    <x v="0"/>
    <x v="0"/>
    <x v="0"/>
    <x v="0"/>
    <x v="2"/>
    <x v="275"/>
  </r>
  <r>
    <s v="ABK00292"/>
    <x v="200"/>
    <x v="3"/>
    <x v="2"/>
    <x v="0"/>
    <n v="125.85"/>
    <x v="1"/>
    <x v="2"/>
    <x v="0"/>
    <x v="1"/>
    <x v="3"/>
    <x v="276"/>
  </r>
  <r>
    <s v="Unknown"/>
    <x v="201"/>
    <x v="2"/>
    <x v="0"/>
    <x v="0"/>
    <n v="205.57"/>
    <x v="0"/>
    <x v="0"/>
    <x v="0"/>
    <x v="0"/>
    <x v="2"/>
    <x v="277"/>
  </r>
  <r>
    <s v="Unknown"/>
    <x v="202"/>
    <x v="2"/>
    <x v="1"/>
    <x v="0"/>
    <n v="228.46"/>
    <x v="0"/>
    <x v="1"/>
    <x v="0"/>
    <x v="0"/>
    <x v="2"/>
    <x v="277"/>
  </r>
  <r>
    <s v="Unknown"/>
    <x v="203"/>
    <x v="2"/>
    <x v="0"/>
    <x v="0"/>
    <n v="259.58999999999997"/>
    <x v="0"/>
    <x v="0"/>
    <x v="0"/>
    <x v="0"/>
    <x v="2"/>
    <x v="277"/>
  </r>
  <r>
    <s v="Unknown"/>
    <x v="11"/>
    <x v="2"/>
    <x v="0"/>
    <x v="0"/>
    <n v="261.83999999999997"/>
    <x v="0"/>
    <x v="0"/>
    <x v="0"/>
    <x v="0"/>
    <x v="2"/>
    <x v="277"/>
  </r>
  <r>
    <s v="Unknown"/>
    <x v="204"/>
    <x v="3"/>
    <x v="0"/>
    <x v="0"/>
    <n v="95.11"/>
    <x v="0"/>
    <x v="0"/>
    <x v="0"/>
    <x v="0"/>
    <x v="3"/>
    <x v="277"/>
  </r>
  <r>
    <s v="Unknown"/>
    <x v="205"/>
    <x v="3"/>
    <x v="0"/>
    <x v="0"/>
    <n v="108.16"/>
    <x v="0"/>
    <x v="0"/>
    <x v="0"/>
    <x v="0"/>
    <x v="3"/>
    <x v="277"/>
  </r>
  <r>
    <s v="Unknown"/>
    <x v="206"/>
    <x v="3"/>
    <x v="0"/>
    <x v="0"/>
    <n v="118.78"/>
    <x v="0"/>
    <x v="0"/>
    <x v="0"/>
    <x v="0"/>
    <x v="3"/>
    <x v="277"/>
  </r>
  <r>
    <s v="Unknown"/>
    <x v="207"/>
    <x v="0"/>
    <x v="0"/>
    <x v="0"/>
    <n v="81.08"/>
    <x v="0"/>
    <x v="0"/>
    <x v="0"/>
    <x v="0"/>
    <x v="0"/>
    <x v="277"/>
  </r>
  <r>
    <s v="Unknown"/>
    <x v="153"/>
    <x v="0"/>
    <x v="0"/>
    <x v="0"/>
    <n v="88.06"/>
    <x v="0"/>
    <x v="0"/>
    <x v="0"/>
    <x v="0"/>
    <x v="0"/>
    <x v="277"/>
  </r>
  <r>
    <s v="Unknown"/>
    <x v="208"/>
    <x v="4"/>
    <x v="1"/>
    <x v="0"/>
    <n v="83.31"/>
    <x v="1"/>
    <x v="1"/>
    <x v="0"/>
    <x v="1"/>
    <x v="4"/>
    <x v="277"/>
  </r>
  <r>
    <s v="Unknown"/>
    <x v="209"/>
    <x v="4"/>
    <x v="0"/>
    <x v="0"/>
    <n v="87.98"/>
    <x v="0"/>
    <x v="0"/>
    <x v="0"/>
    <x v="0"/>
    <x v="4"/>
    <x v="277"/>
  </r>
  <r>
    <s v="Unknown"/>
    <x v="210"/>
    <x v="4"/>
    <x v="0"/>
    <x v="0"/>
    <n v="111.96"/>
    <x v="0"/>
    <x v="0"/>
    <x v="0"/>
    <x v="0"/>
    <x v="4"/>
    <x v="277"/>
  </r>
  <r>
    <s v="Unknown"/>
    <x v="211"/>
    <x v="4"/>
    <x v="0"/>
    <x v="2"/>
    <n v="192.08"/>
    <x v="1"/>
    <x v="0"/>
    <x v="2"/>
    <x v="1"/>
    <x v="4"/>
    <x v="277"/>
  </r>
  <r>
    <s v="Unknown"/>
    <x v="212"/>
    <x v="1"/>
    <x v="0"/>
    <x v="0"/>
    <n v="236.95"/>
    <x v="0"/>
    <x v="0"/>
    <x v="0"/>
    <x v="0"/>
    <x v="1"/>
    <x v="277"/>
  </r>
  <r>
    <s v="Unknown"/>
    <x v="213"/>
    <x v="1"/>
    <x v="0"/>
    <x v="0"/>
    <n v="261.95999999999998"/>
    <x v="0"/>
    <x v="0"/>
    <x v="0"/>
    <x v="0"/>
    <x v="1"/>
    <x v="2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0"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items count="7">
        <item x="2"/>
        <item x="3"/>
        <item x="0"/>
        <item x="4"/>
        <item x="1"/>
        <item x="5"/>
        <item t="default"/>
      </items>
    </pivotField>
    <pivotField showAll="0"/>
    <pivotField showAll="0">
      <items count="4">
        <item x="2"/>
        <item h="1" x="0"/>
        <item h="1" x="1"/>
        <item t="default"/>
      </items>
    </pivotField>
    <pivotField dataField="1" numFmtId="166" showAll="0"/>
    <pivotField showAll="0"/>
    <pivotField showAll="0"/>
    <pivotField showAll="0"/>
    <pivotField showAll="0"/>
    <pivotField axis="axisRow" showAll="0">
      <items count="7">
        <item x="2"/>
        <item x="3"/>
        <item x="0"/>
        <item x="4"/>
        <item x="1"/>
        <item x="5"/>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10"/>
  </rowFields>
  <rowItems count="7">
    <i>
      <x/>
    </i>
    <i>
      <x v="1"/>
    </i>
    <i>
      <x v="2"/>
    </i>
    <i>
      <x v="3"/>
    </i>
    <i>
      <x v="4"/>
    </i>
    <i>
      <x v="5"/>
    </i>
    <i t="grand">
      <x/>
    </i>
  </rowItems>
  <colItems count="1">
    <i/>
  </colItems>
  <dataFields count="1">
    <dataField name="Sum of Ticket_Price" fld="5" baseField="0" baseItem="0"/>
  </dataFields>
  <chartFormats count="2">
    <chartFormat chart="5" format="4"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1:C49" firstHeaderRow="1" firstDataRow="2" firstDataCol="1"/>
  <pivotFields count="14">
    <pivotField showAll="0"/>
    <pivotField numFmtId="14" showAll="0"/>
    <pivotField showAll="0">
      <items count="7">
        <item x="2"/>
        <item x="3"/>
        <item x="0"/>
        <item x="4"/>
        <item x="1"/>
        <item x="5"/>
        <item t="default"/>
      </items>
    </pivotField>
    <pivotField showAll="0"/>
    <pivotField showAll="0">
      <items count="4">
        <item x="2"/>
        <item h="1" x="0"/>
        <item h="1" x="1"/>
        <item t="default"/>
      </items>
    </pivotField>
    <pivotField dataField="1" numFmtId="166" showAll="0"/>
    <pivotField showAll="0">
      <items count="5">
        <item x="3"/>
        <item x="0"/>
        <item x="1"/>
        <item x="2"/>
        <item t="default"/>
      </items>
    </pivotField>
    <pivotField showAll="0"/>
    <pivotField axis="axisCol" showAll="0">
      <items count="4">
        <item x="2"/>
        <item x="0"/>
        <item x="1"/>
        <item t="default"/>
      </items>
    </pivotField>
    <pivotField showAll="0"/>
    <pivotField axis="axisRow" showAll="0">
      <items count="7">
        <item x="2"/>
        <item x="3"/>
        <item x="0"/>
        <item x="4"/>
        <item x="1"/>
        <item x="5"/>
        <item t="default"/>
      </items>
    </pivotField>
    <pivotField showAll="0"/>
    <pivotField showAll="0" defaultSubtotal="0"/>
    <pivotField showAll="0" defaultSubtotal="0"/>
  </pivotFields>
  <rowFields count="1">
    <field x="10"/>
  </rowFields>
  <rowItems count="7">
    <i>
      <x/>
    </i>
    <i>
      <x v="1"/>
    </i>
    <i>
      <x v="2"/>
    </i>
    <i>
      <x v="3"/>
    </i>
    <i>
      <x v="4"/>
    </i>
    <i>
      <x v="5"/>
    </i>
    <i t="grand">
      <x/>
    </i>
  </rowItems>
  <colFields count="1">
    <field x="8"/>
  </colFields>
  <colItems count="2">
    <i>
      <x/>
    </i>
    <i t="grand">
      <x/>
    </i>
  </colItems>
  <dataFields count="1">
    <dataField name="Sum of Ticket_Price" fld="5" baseField="0" baseItem="0"/>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8" count="1" selected="0">
            <x v="1"/>
          </reference>
        </references>
      </pivotArea>
    </chartFormat>
    <chartFormat chart="0" format="5" series="1">
      <pivotArea type="data" outline="0" fieldPosition="0">
        <references count="2">
          <reference field="4294967294" count="1" selected="0">
            <x v="0"/>
          </reference>
          <reference field="8" count="1" selected="0">
            <x v="2"/>
          </reference>
        </references>
      </pivotArea>
    </chartFormat>
    <chartFormat chart="3" format="9" series="1">
      <pivotArea type="data" outline="0" fieldPosition="0">
        <references count="2">
          <reference field="4294967294" count="1" selected="0">
            <x v="0"/>
          </reference>
          <reference field="8" count="1" selected="0">
            <x v="0"/>
          </reference>
        </references>
      </pivotArea>
    </chartFormat>
    <chartFormat chart="3" format="10" series="1">
      <pivotArea type="data" outline="0" fieldPosition="0">
        <references count="2">
          <reference field="4294967294" count="1" selected="0">
            <x v="0"/>
          </reference>
          <reference field="8" count="1" selected="0">
            <x v="1"/>
          </reference>
        </references>
      </pivotArea>
    </chartFormat>
    <chartFormat chart="3" format="11"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3:B36" firstHeaderRow="1" firstDataRow="1" firstDataCol="1" rowPageCount="1" colPageCount="1"/>
  <pivotFields count="14">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4">
        <item x="2"/>
        <item h="1" x="0"/>
        <item h="1" x="1"/>
        <item t="default"/>
      </items>
    </pivotField>
    <pivotField numFmtId="166" showAll="0"/>
    <pivotField showAll="0">
      <items count="5">
        <item x="3"/>
        <item x="0"/>
        <item x="1"/>
        <item x="2"/>
        <item t="default"/>
      </items>
    </pivotField>
    <pivotField showAll="0"/>
    <pivotField showAll="0"/>
    <pivotField axis="axisPage" showAll="0">
      <items count="5">
        <item x="3"/>
        <item x="0"/>
        <item x="1"/>
        <item x="2"/>
        <item t="default"/>
      </items>
    </pivotField>
    <pivotField showAll="0"/>
    <pivotField axis="axisRow" dataField="1"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13"/>
    <field x="12"/>
    <field x="1"/>
    <field x="11"/>
  </rowFields>
  <rowItems count="3">
    <i>
      <x v="1"/>
    </i>
    <i>
      <x v="2"/>
    </i>
    <i t="grand">
      <x/>
    </i>
  </rowItems>
  <colItems count="1">
    <i/>
  </colItems>
  <pageFields count="1">
    <pageField fld="9" hier="-1"/>
  </pageFields>
  <dataFields count="1">
    <dataField name="Count of bookin_id clean" fld="11" subtotal="count" baseField="0" baseItem="0"/>
  </dataFields>
  <chartFormats count="2">
    <chartFormat chart="3" format="5"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3:E26" firstHeaderRow="1" firstDataRow="2"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4">
        <item x="2"/>
        <item h="1" x="0"/>
        <item h="1" x="1"/>
        <item t="default"/>
      </items>
    </pivotField>
    <pivotField dataField="1" numFmtId="166" showAll="0"/>
    <pivotField showAll="0"/>
    <pivotField axis="axisCol" showAll="0">
      <items count="5">
        <item x="0"/>
        <item x="1"/>
        <item x="2"/>
        <item x="3"/>
        <item t="default"/>
      </items>
    </pivotField>
    <pivotField axis="axisRow" showAll="0">
      <items count="4">
        <item x="2"/>
        <item x="0"/>
        <item x="1"/>
        <item t="default"/>
      </items>
    </pivotField>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8"/>
  </rowFields>
  <rowItems count="2">
    <i>
      <x/>
    </i>
    <i t="grand">
      <x/>
    </i>
  </rowItems>
  <colFields count="1">
    <field x="7"/>
  </colFields>
  <colItems count="4">
    <i>
      <x/>
    </i>
    <i>
      <x v="1"/>
    </i>
    <i>
      <x v="3"/>
    </i>
    <i t="grand">
      <x/>
    </i>
  </colItems>
  <dataFields count="1">
    <dataField name="Sum of Ticket_Price" fld="5" baseField="0" baseItem="0"/>
  </dataFields>
  <chartFormats count="4">
    <chartFormat chart="5" format="13" series="1">
      <pivotArea type="data" outline="0" fieldPosition="0">
        <references count="2">
          <reference field="4294967294" count="1" selected="0">
            <x v="0"/>
          </reference>
          <reference field="7" count="1" selected="0">
            <x v="0"/>
          </reference>
        </references>
      </pivotArea>
    </chartFormat>
    <chartFormat chart="5" format="14" series="1">
      <pivotArea type="data" outline="0" fieldPosition="0">
        <references count="2">
          <reference field="4294967294" count="1" selected="0">
            <x v="0"/>
          </reference>
          <reference field="7" count="1" selected="0">
            <x v="1"/>
          </reference>
        </references>
      </pivotArea>
    </chartFormat>
    <chartFormat chart="5" format="15" series="1">
      <pivotArea type="data" outline="0" fieldPosition="0">
        <references count="2">
          <reference field="4294967294" count="1" selected="0">
            <x v="0"/>
          </reference>
          <reference field="7" count="1" selected="0">
            <x v="2"/>
          </reference>
        </references>
      </pivotArea>
    </chartFormat>
    <chartFormat chart="5" format="16"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4:B19"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h="1" x="0"/>
        <item h="1" x="1"/>
        <item t="default"/>
      </items>
    </pivotField>
    <pivotField numFmtId="166" showAll="0"/>
    <pivotField showAll="0">
      <items count="5">
        <item x="3"/>
        <item x="0"/>
        <item x="1"/>
        <item x="2"/>
        <item t="default"/>
      </items>
    </pivotField>
    <pivotField showAll="0"/>
    <pivotField showAll="0"/>
    <pivotField axis="axisRow" showAll="0">
      <items count="5">
        <item x="3"/>
        <item x="0"/>
        <item x="1"/>
        <item x="2"/>
        <item t="default"/>
      </items>
    </pivotField>
    <pivotField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9"/>
  </rowFields>
  <rowItems count="5">
    <i>
      <x/>
    </i>
    <i>
      <x v="1"/>
    </i>
    <i>
      <x v="2"/>
    </i>
    <i>
      <x v="3"/>
    </i>
    <i t="grand">
      <x/>
    </i>
  </rowItems>
  <colItems count="1">
    <i/>
  </colItems>
  <dataFields count="1">
    <dataField name="Count of bookin_id clean" fld="11" subtotal="count" baseField="0" baseItem="0"/>
  </dataFields>
  <chartFormats count="9">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9" count="1" selected="0">
            <x v="0"/>
          </reference>
        </references>
      </pivotArea>
    </chartFormat>
    <chartFormat chart="3" format="19">
      <pivotArea type="data" outline="0" fieldPosition="0">
        <references count="2">
          <reference field="4294967294" count="1" selected="0">
            <x v="0"/>
          </reference>
          <reference field="9" count="1" selected="0">
            <x v="1"/>
          </reference>
        </references>
      </pivotArea>
    </chartFormat>
    <chartFormat chart="3" format="20">
      <pivotArea type="data" outline="0" fieldPosition="0">
        <references count="2">
          <reference field="4294967294" count="1" selected="0">
            <x v="0"/>
          </reference>
          <reference field="9" count="1" selected="0">
            <x v="2"/>
          </reference>
        </references>
      </pivotArea>
    </chartFormat>
    <chartFormat chart="3" format="21">
      <pivotArea type="data" outline="0" fieldPosition="0">
        <references count="2">
          <reference field="4294967294" count="1" selected="0">
            <x v="0"/>
          </reference>
          <reference field="9" count="1" selected="0">
            <x v="3"/>
          </reference>
        </references>
      </pivotArea>
    </chartFormat>
    <chartFormat chart="6" format="33" series="1">
      <pivotArea type="data" outline="0" fieldPosition="0">
        <references count="1">
          <reference field="4294967294" count="1" selected="0">
            <x v="0"/>
          </reference>
        </references>
      </pivotArea>
    </chartFormat>
    <chartFormat chart="6" format="34">
      <pivotArea type="data" outline="0" fieldPosition="0">
        <references count="2">
          <reference field="4294967294" count="1" selected="0">
            <x v="0"/>
          </reference>
          <reference field="9" count="1" selected="0">
            <x v="0"/>
          </reference>
        </references>
      </pivotArea>
    </chartFormat>
    <chartFormat chart="6" format="35">
      <pivotArea type="data" outline="0" fieldPosition="0">
        <references count="2">
          <reference field="4294967294" count="1" selected="0">
            <x v="0"/>
          </reference>
          <reference field="9" count="1" selected="0">
            <x v="1"/>
          </reference>
        </references>
      </pivotArea>
    </chartFormat>
    <chartFormat chart="6" format="3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oute" sourceName="Route">
  <pivotTables>
    <pivotTable tabId="5" name="PivotTable5"/>
  </pivotTables>
  <data>
    <tabular pivotCacheId="1">
      <items count="6">
        <i x="2" s="1"/>
        <i x="3" s="1"/>
        <i x="0" s="1"/>
        <i x="4"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ravel_Class" sourceName="Travel_Class">
  <pivotTables>
    <pivotTable tabId="5" name="PivotTable5"/>
    <pivotTable tabId="5" name="PivotTable1"/>
    <pivotTable tabId="5" name="PivotTable2"/>
    <pivotTable tabId="5" name="PivotTable3"/>
    <pivotTable tabId="5" name="PivotTable4"/>
  </pivotTables>
  <data>
    <tabular pivotCacheId="1">
      <items count="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ooking_Status" sourceName="Booking_Status">
  <pivotTables>
    <pivotTable tabId="5" name="PivotTable5"/>
  </pivotTables>
  <data>
    <tabular pivotCacheId="1">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oute1" sourceName="Route">
  <pivotTables>
    <pivotTable tabId="5" name="PivotTable1"/>
  </pivotTables>
  <data>
    <tabular pivotCacheId="1">
      <items count="6">
        <i x="2" s="1"/>
        <i x="3" s="1"/>
        <i x="0" s="1"/>
        <i x="4"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Booking_Status1" sourceName="Booking_Status">
  <pivotTables>
    <pivotTable tabId="5" name="PivotTable2"/>
  </pivotTables>
  <data>
    <tabular pivotCacheId="1">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ooking_Status" cache="Slicer_Booking_Status" caption="Booking_Statu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Travel_Class 1" cache="Slicer_Travel_Class" caption="Travel_Class" style="SlicerStyleLight4" rowHeight="241300"/>
  <slicer name="Route 1" cache="Slicer_Route1" caption="Route" style="SlicerStyleLight4" rowHeight="241300"/>
  <slicer name="Booking_Status 1" cache="Slicer_Booking_Status1" caption="Booking_Status"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Route 2" cache="Slicer_Route" caption="Route" rowHeight="241300"/>
  <slicer name="Travel_Class 2" cache="Slicer_Travel_Class" caption="Travel_Class" rowHeight="241300"/>
  <slicer name="Booking_Status 2" cache="Slicer_Booking_Status" caption="Booking_Status" rowHeight="241300"/>
</slicers>
</file>

<file path=xl/tables/table1.xml><?xml version="1.0" encoding="utf-8"?>
<table xmlns="http://schemas.openxmlformats.org/spreadsheetml/2006/main" id="1" name="Airline" displayName="Airline" ref="A1:L293" headerRowDxfId="15">
  <autoFilter ref="A1:L293"/>
  <tableColumns count="12">
    <tableColumn id="1" name="Booking_ID"/>
    <tableColumn id="2" name="Flight_Date" dataDxfId="14" totalsRowDxfId="13"/>
    <tableColumn id="3" name="Route"/>
    <tableColumn id="4" name="Passenger_Type"/>
    <tableColumn id="5" name="Travel_Class"/>
    <tableColumn id="6" name="Ticket_Price" dataDxfId="12" totalsRowDxfId="11"/>
    <tableColumn id="7" name="Booking_Status"/>
    <tableColumn id="8" name="Precenger_type clean" dataDxfId="10">
      <calculatedColumnFormula>PROPER(D2)</calculatedColumnFormula>
    </tableColumn>
    <tableColumn id="9" name="Traval_class clean" dataDxfId="9">
      <calculatedColumnFormula>PROPER(E2)</calculatedColumnFormula>
    </tableColumn>
    <tableColumn id="12" name="Booking_stustus clean" dataDxfId="8">
      <calculatedColumnFormula>PROPER(G2)</calculatedColumnFormula>
    </tableColumn>
    <tableColumn id="13" name="ROUTE_CLEAN" dataDxfId="7">
      <calculatedColumnFormula>UPPER(C2:C293)</calculatedColumnFormula>
    </tableColumn>
    <tableColumn id="14" name="bookin_id clean" dataDxfId="6">
      <calculatedColumnFormula>TRIM(A2:A293)</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1"/>
  <sheetViews>
    <sheetView topLeftCell="A67" workbookViewId="0">
      <selection activeCell="E16" sqref="E16"/>
    </sheetView>
  </sheetViews>
  <sheetFormatPr defaultRowHeight="14.5"/>
  <cols>
    <col min="1" max="1" width="18" customWidth="1"/>
    <col min="2" max="2" width="24.81640625" customWidth="1"/>
    <col min="3" max="3" width="22.6328125" customWidth="1"/>
    <col min="4" max="4" width="29.54296875" customWidth="1"/>
    <col min="5" max="5" width="26.6328125" customWidth="1"/>
    <col min="6" max="6" width="24.7265625" customWidth="1"/>
    <col min="7" max="7" width="41.6328125" customWidth="1"/>
  </cols>
  <sheetData>
    <row r="1" spans="1:7">
      <c r="A1" s="1" t="s">
        <v>0</v>
      </c>
      <c r="B1" s="1" t="s">
        <v>1</v>
      </c>
      <c r="C1" s="1" t="s">
        <v>2</v>
      </c>
      <c r="D1" s="1" t="s">
        <v>3</v>
      </c>
      <c r="E1" s="1" t="s">
        <v>4</v>
      </c>
      <c r="F1" s="1" t="s">
        <v>5</v>
      </c>
      <c r="G1" s="1" t="s">
        <v>6</v>
      </c>
    </row>
    <row r="2" spans="1:7">
      <c r="A2" t="s">
        <v>7</v>
      </c>
      <c r="B2" s="2">
        <v>45661</v>
      </c>
      <c r="C2" t="s">
        <v>8</v>
      </c>
      <c r="D2" t="s">
        <v>9</v>
      </c>
      <c r="E2" t="s">
        <v>10</v>
      </c>
      <c r="F2" s="3"/>
      <c r="G2" t="s">
        <v>11</v>
      </c>
    </row>
    <row r="3" spans="1:7">
      <c r="A3" t="s">
        <v>12</v>
      </c>
      <c r="B3" s="2">
        <v>45761</v>
      </c>
      <c r="C3" t="s">
        <v>13</v>
      </c>
      <c r="D3" t="s">
        <v>9</v>
      </c>
      <c r="E3" t="s">
        <v>10</v>
      </c>
      <c r="F3" s="3">
        <v>235.06</v>
      </c>
      <c r="G3" t="s">
        <v>14</v>
      </c>
    </row>
    <row r="4" spans="1:7">
      <c r="A4" t="s">
        <v>15</v>
      </c>
      <c r="B4" s="2">
        <v>45836</v>
      </c>
      <c r="C4" t="s">
        <v>13</v>
      </c>
      <c r="D4" t="s">
        <v>16</v>
      </c>
      <c r="E4" t="s">
        <v>10</v>
      </c>
      <c r="F4" s="3">
        <v>266.49</v>
      </c>
      <c r="G4" t="s">
        <v>14</v>
      </c>
    </row>
    <row r="5" spans="1:7">
      <c r="A5" t="s">
        <v>17</v>
      </c>
      <c r="B5" s="2">
        <v>46095</v>
      </c>
      <c r="C5" t="s">
        <v>18</v>
      </c>
      <c r="D5" t="s">
        <v>9</v>
      </c>
      <c r="E5" t="s">
        <v>10</v>
      </c>
      <c r="F5" s="3">
        <v>235.81</v>
      </c>
    </row>
    <row r="6" spans="1:7">
      <c r="A6" t="s">
        <v>19</v>
      </c>
      <c r="B6" s="2">
        <v>45949</v>
      </c>
      <c r="C6" t="s">
        <v>13</v>
      </c>
      <c r="D6" t="s">
        <v>16</v>
      </c>
      <c r="E6" t="s">
        <v>10</v>
      </c>
      <c r="F6" s="3"/>
      <c r="G6" t="s">
        <v>14</v>
      </c>
    </row>
    <row r="7" spans="1:7">
      <c r="A7" t="s">
        <v>20</v>
      </c>
      <c r="B7" s="2">
        <v>46047</v>
      </c>
      <c r="C7" t="s">
        <v>18</v>
      </c>
      <c r="D7" t="s">
        <v>9</v>
      </c>
      <c r="E7" t="s">
        <v>10</v>
      </c>
      <c r="F7" s="3">
        <v>194.15</v>
      </c>
      <c r="G7" t="s">
        <v>14</v>
      </c>
    </row>
    <row r="8" spans="1:7">
      <c r="A8" t="s">
        <v>21</v>
      </c>
      <c r="B8" s="2">
        <v>45792</v>
      </c>
      <c r="C8" t="s">
        <v>13</v>
      </c>
      <c r="D8" t="s">
        <v>22</v>
      </c>
      <c r="E8" t="s">
        <v>10</v>
      </c>
      <c r="F8" s="3">
        <v>214.42</v>
      </c>
      <c r="G8" t="s">
        <v>14</v>
      </c>
    </row>
    <row r="9" spans="1:7">
      <c r="A9" t="s">
        <v>23</v>
      </c>
      <c r="B9" s="2">
        <v>46020</v>
      </c>
      <c r="C9" t="s">
        <v>24</v>
      </c>
      <c r="D9" t="s">
        <v>9</v>
      </c>
      <c r="E9" t="s">
        <v>10</v>
      </c>
      <c r="F9" s="3">
        <v>81.88</v>
      </c>
      <c r="G9" t="s">
        <v>14</v>
      </c>
    </row>
    <row r="10" spans="1:7">
      <c r="A10" t="s">
        <v>25</v>
      </c>
      <c r="B10" s="2">
        <v>45963</v>
      </c>
      <c r="C10" t="s">
        <v>18</v>
      </c>
      <c r="D10" t="s">
        <v>9</v>
      </c>
      <c r="E10" t="s">
        <v>10</v>
      </c>
      <c r="F10" s="3">
        <v>251.62</v>
      </c>
      <c r="G10" t="s">
        <v>14</v>
      </c>
    </row>
    <row r="11" spans="1:7">
      <c r="A11" t="s">
        <v>26</v>
      </c>
      <c r="B11" s="2">
        <v>45782</v>
      </c>
      <c r="D11" t="s">
        <v>9</v>
      </c>
      <c r="E11" t="s">
        <v>10</v>
      </c>
      <c r="F11" s="3">
        <v>78.260000000000005</v>
      </c>
      <c r="G11" t="s">
        <v>27</v>
      </c>
    </row>
    <row r="12" spans="1:7">
      <c r="A12" t="s">
        <v>28</v>
      </c>
      <c r="B12" s="2">
        <v>45852</v>
      </c>
      <c r="C12" t="s">
        <v>18</v>
      </c>
      <c r="D12" t="s">
        <v>9</v>
      </c>
      <c r="E12" t="s">
        <v>10</v>
      </c>
      <c r="F12" s="3">
        <v>194.56</v>
      </c>
      <c r="G12" t="s">
        <v>14</v>
      </c>
    </row>
    <row r="13" spans="1:7">
      <c r="A13" t="s">
        <v>29</v>
      </c>
      <c r="B13" s="2">
        <v>45968</v>
      </c>
      <c r="C13" t="s">
        <v>18</v>
      </c>
      <c r="D13" t="s">
        <v>22</v>
      </c>
      <c r="E13" t="s">
        <v>10</v>
      </c>
      <c r="F13" s="3">
        <v>244.68</v>
      </c>
      <c r="G13" t="s">
        <v>11</v>
      </c>
    </row>
    <row r="14" spans="1:7">
      <c r="A14" t="s">
        <v>30</v>
      </c>
      <c r="B14" s="2">
        <v>45773</v>
      </c>
      <c r="C14" t="s">
        <v>8</v>
      </c>
      <c r="D14" t="s">
        <v>9</v>
      </c>
      <c r="E14" t="s">
        <v>10</v>
      </c>
      <c r="F14" s="3">
        <v>86.88</v>
      </c>
      <c r="G14" t="s">
        <v>14</v>
      </c>
    </row>
    <row r="15" spans="1:7">
      <c r="A15" t="s">
        <v>31</v>
      </c>
      <c r="B15" s="2">
        <v>45684</v>
      </c>
      <c r="C15" t="s">
        <v>32</v>
      </c>
      <c r="D15" t="s">
        <v>9</v>
      </c>
      <c r="E15" t="s">
        <v>33</v>
      </c>
      <c r="F15" s="3">
        <v>211.82</v>
      </c>
      <c r="G15" t="s">
        <v>14</v>
      </c>
    </row>
    <row r="16" spans="1:7">
      <c r="A16" t="s">
        <v>34</v>
      </c>
      <c r="B16" s="2">
        <v>46144</v>
      </c>
      <c r="C16" t="s">
        <v>8</v>
      </c>
      <c r="D16" t="s">
        <v>9</v>
      </c>
      <c r="E16" t="s">
        <v>10</v>
      </c>
      <c r="F16" s="3">
        <v>105.01</v>
      </c>
    </row>
    <row r="17" spans="1:7">
      <c r="A17" t="s">
        <v>35</v>
      </c>
      <c r="B17" s="2">
        <v>45660</v>
      </c>
      <c r="C17" t="s">
        <v>32</v>
      </c>
      <c r="D17" t="s">
        <v>9</v>
      </c>
      <c r="E17" t="s">
        <v>33</v>
      </c>
      <c r="F17" s="3">
        <v>218.33</v>
      </c>
      <c r="G17" t="s">
        <v>14</v>
      </c>
    </row>
    <row r="18" spans="1:7">
      <c r="A18" t="s">
        <v>36</v>
      </c>
      <c r="B18" s="2">
        <v>46206</v>
      </c>
      <c r="C18" t="s">
        <v>8</v>
      </c>
      <c r="D18" t="s">
        <v>9</v>
      </c>
      <c r="F18" s="3">
        <v>95.2</v>
      </c>
      <c r="G18" t="s">
        <v>14</v>
      </c>
    </row>
    <row r="19" spans="1:7">
      <c r="A19" t="s">
        <v>37</v>
      </c>
      <c r="B19" s="2">
        <v>46166</v>
      </c>
      <c r="C19" t="s">
        <v>18</v>
      </c>
      <c r="D19" t="s">
        <v>9</v>
      </c>
      <c r="E19" t="s">
        <v>10</v>
      </c>
      <c r="F19" s="3"/>
      <c r="G19" t="s">
        <v>14</v>
      </c>
    </row>
    <row r="20" spans="1:7">
      <c r="A20" t="s">
        <v>38</v>
      </c>
      <c r="B20" s="2">
        <v>46087</v>
      </c>
      <c r="C20" t="s">
        <v>8</v>
      </c>
      <c r="D20" t="s">
        <v>9</v>
      </c>
      <c r="E20" t="s">
        <v>10</v>
      </c>
      <c r="F20" s="3">
        <v>109.8</v>
      </c>
      <c r="G20" t="s">
        <v>11</v>
      </c>
    </row>
    <row r="21" spans="1:7">
      <c r="A21" t="s">
        <v>39</v>
      </c>
      <c r="B21" s="2">
        <v>45996</v>
      </c>
      <c r="C21" t="s">
        <v>13</v>
      </c>
      <c r="D21" t="s">
        <v>22</v>
      </c>
      <c r="E21" t="s">
        <v>10</v>
      </c>
      <c r="F21" s="3">
        <v>287.12</v>
      </c>
      <c r="G21" t="s">
        <v>11</v>
      </c>
    </row>
    <row r="22" spans="1:7">
      <c r="A22" t="s">
        <v>40</v>
      </c>
      <c r="B22" s="2"/>
      <c r="C22" t="s">
        <v>32</v>
      </c>
      <c r="D22" t="s">
        <v>9</v>
      </c>
      <c r="E22" t="s">
        <v>10</v>
      </c>
      <c r="F22" s="3">
        <v>115.36</v>
      </c>
      <c r="G22" t="s">
        <v>14</v>
      </c>
    </row>
    <row r="23" spans="1:7">
      <c r="A23" t="s">
        <v>41</v>
      </c>
      <c r="B23" s="2">
        <v>45755</v>
      </c>
      <c r="C23" t="s">
        <v>8</v>
      </c>
      <c r="D23" t="s">
        <v>22</v>
      </c>
      <c r="E23" t="s">
        <v>10</v>
      </c>
      <c r="F23" s="3">
        <v>89.64</v>
      </c>
      <c r="G23" t="s">
        <v>14</v>
      </c>
    </row>
    <row r="24" spans="1:7">
      <c r="A24" t="s">
        <v>42</v>
      </c>
      <c r="B24" s="2">
        <v>46138</v>
      </c>
      <c r="C24" t="s">
        <v>18</v>
      </c>
      <c r="D24" t="s">
        <v>16</v>
      </c>
      <c r="E24" t="s">
        <v>10</v>
      </c>
      <c r="F24" s="3">
        <v>188.64</v>
      </c>
      <c r="G24" t="s">
        <v>11</v>
      </c>
    </row>
    <row r="25" spans="1:7">
      <c r="B25" s="2">
        <v>45795</v>
      </c>
      <c r="C25" t="s">
        <v>32</v>
      </c>
      <c r="D25" t="s">
        <v>9</v>
      </c>
      <c r="E25" t="s">
        <v>10</v>
      </c>
      <c r="F25" s="3">
        <v>108.16</v>
      </c>
      <c r="G25" t="s">
        <v>14</v>
      </c>
    </row>
    <row r="26" spans="1:7">
      <c r="A26" t="s">
        <v>43</v>
      </c>
      <c r="B26" s="2">
        <v>45733</v>
      </c>
      <c r="C26" t="s">
        <v>8</v>
      </c>
      <c r="D26" t="s">
        <v>9</v>
      </c>
      <c r="E26" t="s">
        <v>33</v>
      </c>
      <c r="F26" s="3">
        <v>198.57</v>
      </c>
      <c r="G26" t="s">
        <v>14</v>
      </c>
    </row>
    <row r="27" spans="1:7">
      <c r="A27" t="s">
        <v>44</v>
      </c>
      <c r="B27" s="2">
        <v>45818</v>
      </c>
      <c r="C27" t="s">
        <v>24</v>
      </c>
      <c r="D27" t="s">
        <v>9</v>
      </c>
      <c r="E27" t="s">
        <v>10</v>
      </c>
      <c r="F27" s="3"/>
      <c r="G27" t="s">
        <v>11</v>
      </c>
    </row>
    <row r="28" spans="1:7">
      <c r="A28" t="s">
        <v>45</v>
      </c>
      <c r="B28" s="2">
        <v>45925</v>
      </c>
      <c r="C28" t="s">
        <v>8</v>
      </c>
      <c r="D28" t="s">
        <v>9</v>
      </c>
      <c r="E28" t="s">
        <v>10</v>
      </c>
      <c r="F28" s="3"/>
      <c r="G28" t="s">
        <v>46</v>
      </c>
    </row>
    <row r="29" spans="1:7">
      <c r="A29" t="s">
        <v>47</v>
      </c>
      <c r="B29" s="2">
        <v>45840</v>
      </c>
      <c r="C29" t="s">
        <v>18</v>
      </c>
      <c r="E29" t="s">
        <v>10</v>
      </c>
      <c r="F29" s="3">
        <v>270.95</v>
      </c>
      <c r="G29" t="s">
        <v>11</v>
      </c>
    </row>
    <row r="30" spans="1:7">
      <c r="A30" t="s">
        <v>48</v>
      </c>
      <c r="B30" s="2">
        <v>45758</v>
      </c>
      <c r="C30" t="s">
        <v>8</v>
      </c>
      <c r="D30" t="s">
        <v>9</v>
      </c>
      <c r="E30" t="s">
        <v>33</v>
      </c>
      <c r="F30" s="3">
        <v>222.33</v>
      </c>
      <c r="G30" t="s">
        <v>14</v>
      </c>
    </row>
    <row r="31" spans="1:7">
      <c r="A31" t="s">
        <v>49</v>
      </c>
      <c r="B31" s="2">
        <v>46188</v>
      </c>
      <c r="C31" t="s">
        <v>32</v>
      </c>
      <c r="D31" t="s">
        <v>9</v>
      </c>
      <c r="E31" t="s">
        <v>10</v>
      </c>
      <c r="F31" s="3">
        <v>127.7</v>
      </c>
    </row>
    <row r="32" spans="1:7">
      <c r="A32" t="s">
        <v>50</v>
      </c>
      <c r="B32" s="2">
        <v>45974</v>
      </c>
      <c r="C32" t="s">
        <v>13</v>
      </c>
      <c r="D32" t="s">
        <v>9</v>
      </c>
      <c r="E32" t="s">
        <v>10</v>
      </c>
      <c r="F32" s="3">
        <v>254.28</v>
      </c>
      <c r="G32" t="s">
        <v>46</v>
      </c>
    </row>
    <row r="33" spans="1:7">
      <c r="A33" t="s">
        <v>51</v>
      </c>
      <c r="B33" s="2">
        <v>45770</v>
      </c>
      <c r="C33" t="s">
        <v>18</v>
      </c>
      <c r="D33" t="s">
        <v>9</v>
      </c>
      <c r="E33" t="s">
        <v>10</v>
      </c>
      <c r="F33" s="3">
        <v>215.11</v>
      </c>
      <c r="G33" t="s">
        <v>11</v>
      </c>
    </row>
    <row r="34" spans="1:7">
      <c r="A34" t="s">
        <v>52</v>
      </c>
      <c r="B34" s="2">
        <v>45770</v>
      </c>
      <c r="C34" t="s">
        <v>8</v>
      </c>
      <c r="D34" t="s">
        <v>16</v>
      </c>
      <c r="E34" t="s">
        <v>10</v>
      </c>
      <c r="F34" s="3">
        <v>87.51</v>
      </c>
      <c r="G34" t="s">
        <v>11</v>
      </c>
    </row>
    <row r="35" spans="1:7">
      <c r="A35" t="s">
        <v>53</v>
      </c>
      <c r="B35" s="2">
        <v>46067</v>
      </c>
      <c r="C35" t="s">
        <v>13</v>
      </c>
      <c r="D35" t="s">
        <v>9</v>
      </c>
      <c r="E35" t="s">
        <v>10</v>
      </c>
      <c r="F35" s="3">
        <v>297.72000000000003</v>
      </c>
      <c r="G35" t="s">
        <v>14</v>
      </c>
    </row>
    <row r="36" spans="1:7">
      <c r="A36" t="s">
        <v>54</v>
      </c>
      <c r="B36" s="2">
        <v>45859</v>
      </c>
      <c r="C36" t="s">
        <v>18</v>
      </c>
      <c r="D36" t="s">
        <v>9</v>
      </c>
      <c r="E36" t="s">
        <v>10</v>
      </c>
      <c r="F36" s="3">
        <v>195.97</v>
      </c>
      <c r="G36" t="s">
        <v>46</v>
      </c>
    </row>
    <row r="37" spans="1:7">
      <c r="A37" t="s">
        <v>55</v>
      </c>
      <c r="B37" s="2">
        <v>45925</v>
      </c>
      <c r="C37" t="s">
        <v>24</v>
      </c>
      <c r="D37" t="s">
        <v>16</v>
      </c>
      <c r="E37" t="s">
        <v>33</v>
      </c>
      <c r="F37" s="3">
        <v>186.38</v>
      </c>
      <c r="G37" t="s">
        <v>46</v>
      </c>
    </row>
    <row r="38" spans="1:7">
      <c r="A38" t="s">
        <v>56</v>
      </c>
      <c r="B38" s="2">
        <v>46095</v>
      </c>
      <c r="C38" t="s">
        <v>18</v>
      </c>
      <c r="D38" t="s">
        <v>9</v>
      </c>
      <c r="E38" t="s">
        <v>10</v>
      </c>
      <c r="F38" s="3">
        <v>261.37</v>
      </c>
      <c r="G38" t="s">
        <v>14</v>
      </c>
    </row>
    <row r="39" spans="1:7">
      <c r="A39" t="s">
        <v>57</v>
      </c>
      <c r="B39" s="2">
        <v>45800</v>
      </c>
      <c r="C39" t="s">
        <v>32</v>
      </c>
      <c r="D39" t="s">
        <v>9</v>
      </c>
      <c r="E39" t="s">
        <v>10</v>
      </c>
      <c r="F39" s="3">
        <v>101.11</v>
      </c>
      <c r="G39" t="s">
        <v>14</v>
      </c>
    </row>
    <row r="40" spans="1:7">
      <c r="A40" t="s">
        <v>58</v>
      </c>
      <c r="B40" s="2">
        <v>45925</v>
      </c>
      <c r="C40" t="s">
        <v>24</v>
      </c>
      <c r="D40" t="s">
        <v>9</v>
      </c>
      <c r="E40" t="s">
        <v>10</v>
      </c>
      <c r="F40" s="3">
        <v>94.35</v>
      </c>
      <c r="G40" t="s">
        <v>11</v>
      </c>
    </row>
    <row r="41" spans="1:7">
      <c r="A41" t="s">
        <v>59</v>
      </c>
      <c r="B41" s="2"/>
      <c r="C41" t="s">
        <v>32</v>
      </c>
      <c r="D41" t="s">
        <v>16</v>
      </c>
      <c r="E41" t="s">
        <v>33</v>
      </c>
      <c r="F41" s="3">
        <v>192.44</v>
      </c>
      <c r="G41" t="s">
        <v>11</v>
      </c>
    </row>
    <row r="42" spans="1:7">
      <c r="A42" t="s">
        <v>60</v>
      </c>
      <c r="B42" s="2">
        <v>45790</v>
      </c>
      <c r="C42" t="s">
        <v>61</v>
      </c>
      <c r="D42" t="s">
        <v>9</v>
      </c>
      <c r="E42" t="s">
        <v>33</v>
      </c>
      <c r="F42" s="3">
        <v>198.94</v>
      </c>
      <c r="G42" t="s">
        <v>46</v>
      </c>
    </row>
    <row r="43" spans="1:7">
      <c r="A43" t="s">
        <v>62</v>
      </c>
      <c r="B43" s="2">
        <v>46166</v>
      </c>
      <c r="D43" t="s">
        <v>9</v>
      </c>
      <c r="E43" t="s">
        <v>10</v>
      </c>
      <c r="F43" s="3">
        <v>274.45999999999998</v>
      </c>
      <c r="G43" t="s">
        <v>11</v>
      </c>
    </row>
    <row r="44" spans="1:7">
      <c r="A44" t="s">
        <v>63</v>
      </c>
      <c r="B44" s="2">
        <v>45873</v>
      </c>
      <c r="C44" t="s">
        <v>32</v>
      </c>
      <c r="D44" t="s">
        <v>9</v>
      </c>
      <c r="E44" t="s">
        <v>10</v>
      </c>
      <c r="F44" s="3">
        <v>123.12</v>
      </c>
      <c r="G44" t="s">
        <v>14</v>
      </c>
    </row>
    <row r="45" spans="1:7">
      <c r="A45" t="s">
        <v>64</v>
      </c>
      <c r="B45" s="2">
        <v>45766</v>
      </c>
      <c r="C45" t="s">
        <v>24</v>
      </c>
      <c r="D45" t="s">
        <v>9</v>
      </c>
      <c r="E45" t="s">
        <v>10</v>
      </c>
      <c r="F45" s="3">
        <v>90.1</v>
      </c>
      <c r="G45" t="s">
        <v>14</v>
      </c>
    </row>
    <row r="46" spans="1:7">
      <c r="A46" t="s">
        <v>65</v>
      </c>
      <c r="B46" s="2">
        <v>46117</v>
      </c>
      <c r="C46" t="s">
        <v>18</v>
      </c>
      <c r="D46" t="s">
        <v>9</v>
      </c>
      <c r="E46" t="s">
        <v>10</v>
      </c>
      <c r="F46" s="3">
        <v>194.39</v>
      </c>
      <c r="G46" t="s">
        <v>14</v>
      </c>
    </row>
    <row r="47" spans="1:7">
      <c r="A47" t="s">
        <v>66</v>
      </c>
      <c r="B47" s="2" t="s">
        <v>61</v>
      </c>
      <c r="C47" t="s">
        <v>32</v>
      </c>
      <c r="D47" t="s">
        <v>9</v>
      </c>
      <c r="E47" t="s">
        <v>10</v>
      </c>
      <c r="F47" s="3">
        <v>118.52</v>
      </c>
      <c r="G47" t="s">
        <v>14</v>
      </c>
    </row>
    <row r="48" spans="1:7">
      <c r="B48" s="2">
        <v>45993</v>
      </c>
      <c r="C48" t="s">
        <v>13</v>
      </c>
      <c r="D48" t="s">
        <v>16</v>
      </c>
      <c r="E48" t="s">
        <v>10</v>
      </c>
      <c r="F48" s="3">
        <v>228.46</v>
      </c>
      <c r="G48" t="s">
        <v>14</v>
      </c>
    </row>
    <row r="49" spans="1:7">
      <c r="B49" s="2">
        <v>46183</v>
      </c>
      <c r="C49" t="s">
        <v>13</v>
      </c>
      <c r="D49" t="s">
        <v>9</v>
      </c>
      <c r="E49" t="s">
        <v>10</v>
      </c>
      <c r="F49" s="3">
        <v>259.58999999999997</v>
      </c>
      <c r="G49" t="s">
        <v>14</v>
      </c>
    </row>
    <row r="50" spans="1:7">
      <c r="A50" t="s">
        <v>67</v>
      </c>
      <c r="B50" s="2">
        <v>45925</v>
      </c>
      <c r="C50" t="s">
        <v>8</v>
      </c>
      <c r="D50" t="s">
        <v>9</v>
      </c>
      <c r="E50" t="s">
        <v>10</v>
      </c>
      <c r="F50" s="3">
        <v>88.64</v>
      </c>
      <c r="G50" t="s">
        <v>11</v>
      </c>
    </row>
    <row r="51" spans="1:7">
      <c r="A51" t="s">
        <v>68</v>
      </c>
      <c r="B51" s="2">
        <v>45783</v>
      </c>
      <c r="C51" t="s">
        <v>8</v>
      </c>
      <c r="D51" t="s">
        <v>9</v>
      </c>
      <c r="E51" t="s">
        <v>10</v>
      </c>
      <c r="F51" s="3">
        <v>116.16</v>
      </c>
      <c r="G51" t="s">
        <v>14</v>
      </c>
    </row>
    <row r="52" spans="1:7">
      <c r="A52" t="s">
        <v>69</v>
      </c>
      <c r="B52" s="2">
        <v>46020</v>
      </c>
      <c r="D52" t="s">
        <v>9</v>
      </c>
      <c r="E52" t="s">
        <v>33</v>
      </c>
      <c r="F52" s="3">
        <v>413.39</v>
      </c>
      <c r="G52" t="s">
        <v>11</v>
      </c>
    </row>
    <row r="53" spans="1:7">
      <c r="A53" t="s">
        <v>70</v>
      </c>
      <c r="B53" s="2">
        <v>45780</v>
      </c>
      <c r="C53" t="s">
        <v>8</v>
      </c>
      <c r="D53" t="s">
        <v>16</v>
      </c>
      <c r="E53" t="s">
        <v>10</v>
      </c>
      <c r="F53" s="3">
        <v>112.52</v>
      </c>
      <c r="G53" t="s">
        <v>71</v>
      </c>
    </row>
    <row r="54" spans="1:7">
      <c r="A54" t="s">
        <v>72</v>
      </c>
      <c r="B54" s="2">
        <v>46040</v>
      </c>
      <c r="C54" t="s">
        <v>13</v>
      </c>
      <c r="D54" t="s">
        <v>16</v>
      </c>
      <c r="E54" t="s">
        <v>10</v>
      </c>
      <c r="F54" s="3">
        <v>254.76</v>
      </c>
      <c r="G54" t="s">
        <v>14</v>
      </c>
    </row>
    <row r="55" spans="1:7">
      <c r="A55" t="s">
        <v>73</v>
      </c>
      <c r="B55" s="2">
        <v>46194</v>
      </c>
      <c r="C55" t="s">
        <v>24</v>
      </c>
      <c r="D55" t="s">
        <v>9</v>
      </c>
      <c r="E55" t="s">
        <v>10</v>
      </c>
      <c r="F55" s="3">
        <v>101.45</v>
      </c>
      <c r="G55" t="s">
        <v>11</v>
      </c>
    </row>
    <row r="56" spans="1:7">
      <c r="A56" t="s">
        <v>74</v>
      </c>
      <c r="B56" s="2">
        <v>45865</v>
      </c>
      <c r="C56" t="s">
        <v>32</v>
      </c>
      <c r="D56" t="s">
        <v>9</v>
      </c>
      <c r="E56" t="s">
        <v>10</v>
      </c>
      <c r="F56" s="3">
        <v>119.88</v>
      </c>
      <c r="G56" t="s">
        <v>14</v>
      </c>
    </row>
    <row r="57" spans="1:7">
      <c r="A57" t="s">
        <v>75</v>
      </c>
      <c r="B57" s="2" t="s">
        <v>76</v>
      </c>
      <c r="C57" t="s">
        <v>32</v>
      </c>
      <c r="D57" t="s">
        <v>9</v>
      </c>
      <c r="E57" t="s">
        <v>10</v>
      </c>
      <c r="F57" s="3">
        <v>94.82</v>
      </c>
      <c r="G57" t="s">
        <v>14</v>
      </c>
    </row>
    <row r="58" spans="1:7">
      <c r="A58" t="s">
        <v>77</v>
      </c>
      <c r="B58" s="2">
        <v>46012</v>
      </c>
      <c r="C58" t="s">
        <v>18</v>
      </c>
      <c r="D58" t="s">
        <v>9</v>
      </c>
      <c r="E58" t="s">
        <v>10</v>
      </c>
      <c r="F58" s="3">
        <v>238.54</v>
      </c>
      <c r="G58" t="s">
        <v>11</v>
      </c>
    </row>
    <row r="59" spans="1:7">
      <c r="A59" t="s">
        <v>78</v>
      </c>
      <c r="B59" s="2">
        <v>46019</v>
      </c>
      <c r="D59" t="s">
        <v>9</v>
      </c>
      <c r="E59" t="s">
        <v>10</v>
      </c>
      <c r="F59" s="3">
        <v>105.34</v>
      </c>
      <c r="G59" t="s">
        <v>11</v>
      </c>
    </row>
    <row r="60" spans="1:7">
      <c r="A60" t="s">
        <v>79</v>
      </c>
      <c r="B60" s="2">
        <v>46135</v>
      </c>
      <c r="C60" t="s">
        <v>32</v>
      </c>
      <c r="D60" t="s">
        <v>9</v>
      </c>
      <c r="E60" t="s">
        <v>10</v>
      </c>
      <c r="F60" s="3">
        <v>99.92</v>
      </c>
      <c r="G60" t="s">
        <v>46</v>
      </c>
    </row>
    <row r="61" spans="1:7">
      <c r="A61" t="s">
        <v>80</v>
      </c>
      <c r="B61" s="2">
        <v>45935</v>
      </c>
      <c r="C61" t="s">
        <v>18</v>
      </c>
      <c r="D61" t="s">
        <v>9</v>
      </c>
      <c r="E61" t="s">
        <v>33</v>
      </c>
      <c r="F61" s="3"/>
      <c r="G61" t="s">
        <v>11</v>
      </c>
    </row>
    <row r="62" spans="1:7">
      <c r="A62" t="s">
        <v>81</v>
      </c>
      <c r="B62" s="2">
        <v>45661</v>
      </c>
      <c r="C62" t="s">
        <v>18</v>
      </c>
      <c r="D62" t="s">
        <v>9</v>
      </c>
      <c r="E62" t="s">
        <v>33</v>
      </c>
      <c r="F62" s="3">
        <v>424.29</v>
      </c>
      <c r="G62" t="s">
        <v>11</v>
      </c>
    </row>
    <row r="63" spans="1:7">
      <c r="A63" t="s">
        <v>82</v>
      </c>
      <c r="B63" s="2">
        <v>45858</v>
      </c>
      <c r="C63" t="s">
        <v>13</v>
      </c>
      <c r="D63" t="s">
        <v>9</v>
      </c>
      <c r="E63" t="s">
        <v>10</v>
      </c>
      <c r="F63" s="3">
        <v>242.01</v>
      </c>
      <c r="G63" t="s">
        <v>14</v>
      </c>
    </row>
    <row r="64" spans="1:7">
      <c r="A64" t="s">
        <v>83</v>
      </c>
      <c r="B64" s="2"/>
      <c r="C64" t="s">
        <v>24</v>
      </c>
      <c r="D64" t="s">
        <v>16</v>
      </c>
      <c r="E64" t="s">
        <v>33</v>
      </c>
      <c r="F64" s="3" t="s">
        <v>84</v>
      </c>
      <c r="G64" t="s">
        <v>14</v>
      </c>
    </row>
    <row r="65" spans="1:7">
      <c r="A65" t="s">
        <v>85</v>
      </c>
      <c r="B65" s="2">
        <v>45837</v>
      </c>
      <c r="C65" t="s">
        <v>13</v>
      </c>
      <c r="D65" t="s">
        <v>9</v>
      </c>
      <c r="E65" t="s">
        <v>10</v>
      </c>
      <c r="F65" s="3">
        <v>277.07</v>
      </c>
      <c r="G65" t="s">
        <v>14</v>
      </c>
    </row>
    <row r="66" spans="1:7">
      <c r="A66" t="s">
        <v>86</v>
      </c>
      <c r="B66" s="2">
        <v>46201</v>
      </c>
      <c r="C66" t="s">
        <v>8</v>
      </c>
      <c r="E66" t="s">
        <v>10</v>
      </c>
      <c r="F66" s="3">
        <v>98.84</v>
      </c>
      <c r="G66" t="s">
        <v>11</v>
      </c>
    </row>
    <row r="67" spans="1:7">
      <c r="A67" t="s">
        <v>87</v>
      </c>
      <c r="B67" s="2">
        <v>45820</v>
      </c>
      <c r="C67" t="s">
        <v>18</v>
      </c>
      <c r="D67" t="s">
        <v>9</v>
      </c>
      <c r="E67" t="s">
        <v>33</v>
      </c>
      <c r="F67" s="3">
        <v>418.55</v>
      </c>
      <c r="G67" t="s">
        <v>14</v>
      </c>
    </row>
    <row r="68" spans="1:7">
      <c r="A68" t="s">
        <v>88</v>
      </c>
      <c r="B68" s="2">
        <v>45943</v>
      </c>
      <c r="C68" t="s">
        <v>18</v>
      </c>
      <c r="D68" t="s">
        <v>9</v>
      </c>
      <c r="E68" t="s">
        <v>10</v>
      </c>
      <c r="F68" s="3"/>
      <c r="G68" t="s">
        <v>14</v>
      </c>
    </row>
    <row r="69" spans="1:7">
      <c r="A69" t="s">
        <v>89</v>
      </c>
      <c r="B69" s="2">
        <v>45756</v>
      </c>
      <c r="C69" t="s">
        <v>18</v>
      </c>
      <c r="D69" t="s">
        <v>9</v>
      </c>
      <c r="F69" s="3">
        <v>-7</v>
      </c>
      <c r="G69" t="s">
        <v>11</v>
      </c>
    </row>
    <row r="70" spans="1:7">
      <c r="A70" t="s">
        <v>90</v>
      </c>
      <c r="B70" s="2">
        <v>45663</v>
      </c>
      <c r="C70" t="s">
        <v>32</v>
      </c>
      <c r="D70" t="s">
        <v>9</v>
      </c>
      <c r="E70" t="s">
        <v>10</v>
      </c>
      <c r="F70" s="3">
        <v>106.84</v>
      </c>
      <c r="G70" t="s">
        <v>14</v>
      </c>
    </row>
    <row r="71" spans="1:7">
      <c r="A71" t="s">
        <v>91</v>
      </c>
      <c r="B71" s="2">
        <v>45809</v>
      </c>
      <c r="C71" t="s">
        <v>13</v>
      </c>
      <c r="D71" t="s">
        <v>16</v>
      </c>
      <c r="E71" t="s">
        <v>10</v>
      </c>
      <c r="F71" s="3">
        <v>255.05</v>
      </c>
      <c r="G71" t="s">
        <v>11</v>
      </c>
    </row>
    <row r="72" spans="1:7">
      <c r="A72" t="s">
        <v>92</v>
      </c>
      <c r="B72" s="2">
        <v>46018</v>
      </c>
      <c r="D72" t="s">
        <v>16</v>
      </c>
      <c r="E72" t="s">
        <v>10</v>
      </c>
      <c r="F72" s="3">
        <v>110.77</v>
      </c>
      <c r="G72" t="s">
        <v>11</v>
      </c>
    </row>
    <row r="73" spans="1:7">
      <c r="A73" t="s">
        <v>93</v>
      </c>
      <c r="B73" s="2">
        <v>46075</v>
      </c>
      <c r="C73" t="s">
        <v>24</v>
      </c>
      <c r="E73" t="s">
        <v>10</v>
      </c>
      <c r="F73" s="3">
        <v>108.58</v>
      </c>
      <c r="G73" t="s">
        <v>14</v>
      </c>
    </row>
    <row r="74" spans="1:7">
      <c r="A74" t="s">
        <v>94</v>
      </c>
      <c r="B74" s="2">
        <v>45908</v>
      </c>
      <c r="C74" t="s">
        <v>18</v>
      </c>
      <c r="D74" t="s">
        <v>16</v>
      </c>
      <c r="E74" t="s">
        <v>33</v>
      </c>
      <c r="F74" s="3">
        <v>436.07</v>
      </c>
      <c r="G74" t="s">
        <v>11</v>
      </c>
    </row>
    <row r="75" spans="1:7">
      <c r="A75" t="s">
        <v>95</v>
      </c>
      <c r="B75" s="2">
        <v>46055</v>
      </c>
      <c r="C75" t="s">
        <v>32</v>
      </c>
      <c r="D75" t="s">
        <v>16</v>
      </c>
      <c r="E75" t="s">
        <v>10</v>
      </c>
      <c r="F75" s="3">
        <v>132.97</v>
      </c>
      <c r="G75" t="s">
        <v>14</v>
      </c>
    </row>
    <row r="76" spans="1:7">
      <c r="A76" t="s">
        <v>96</v>
      </c>
      <c r="B76" s="2">
        <v>45805</v>
      </c>
      <c r="C76" t="s">
        <v>24</v>
      </c>
      <c r="D76" t="s">
        <v>9</v>
      </c>
      <c r="E76" t="s">
        <v>10</v>
      </c>
      <c r="F76" s="3">
        <v>90.59</v>
      </c>
      <c r="G76" t="s">
        <v>11</v>
      </c>
    </row>
    <row r="77" spans="1:7">
      <c r="A77" t="s">
        <v>97</v>
      </c>
      <c r="B77" s="2">
        <v>46162</v>
      </c>
      <c r="C77" t="s">
        <v>8</v>
      </c>
      <c r="E77" t="s">
        <v>10</v>
      </c>
      <c r="F77" s="3">
        <v>81.37</v>
      </c>
      <c r="G77" t="s">
        <v>14</v>
      </c>
    </row>
    <row r="78" spans="1:7">
      <c r="A78" t="s">
        <v>98</v>
      </c>
      <c r="B78" s="2">
        <v>45892</v>
      </c>
      <c r="C78" t="s">
        <v>13</v>
      </c>
      <c r="D78" t="s">
        <v>9</v>
      </c>
      <c r="F78" s="3">
        <v>274.58</v>
      </c>
      <c r="G78" t="s">
        <v>11</v>
      </c>
    </row>
    <row r="79" spans="1:7">
      <c r="A79" t="s">
        <v>99</v>
      </c>
      <c r="B79" s="2">
        <v>46002</v>
      </c>
      <c r="D79" t="s">
        <v>16</v>
      </c>
      <c r="E79" t="s">
        <v>10</v>
      </c>
      <c r="F79" s="3">
        <v>126.41</v>
      </c>
      <c r="G79" t="s">
        <v>14</v>
      </c>
    </row>
    <row r="80" spans="1:7">
      <c r="A80" t="s">
        <v>100</v>
      </c>
      <c r="B80" s="2">
        <v>46199</v>
      </c>
      <c r="C80" t="s">
        <v>13</v>
      </c>
      <c r="D80" t="s">
        <v>16</v>
      </c>
      <c r="F80" s="3">
        <v>257.73</v>
      </c>
      <c r="G80" t="s">
        <v>11</v>
      </c>
    </row>
    <row r="81" spans="1:7">
      <c r="A81" t="s">
        <v>101</v>
      </c>
      <c r="B81" s="2">
        <v>45729</v>
      </c>
      <c r="C81" t="s">
        <v>18</v>
      </c>
      <c r="D81" t="s">
        <v>9</v>
      </c>
      <c r="E81" t="s">
        <v>33</v>
      </c>
      <c r="F81" s="3">
        <v>458.63</v>
      </c>
    </row>
    <row r="82" spans="1:7">
      <c r="B82" s="2">
        <v>45903</v>
      </c>
      <c r="C82" t="s">
        <v>24</v>
      </c>
      <c r="D82" t="s">
        <v>9</v>
      </c>
      <c r="E82" t="s">
        <v>33</v>
      </c>
      <c r="F82" s="3">
        <v>192.08</v>
      </c>
      <c r="G82" t="s">
        <v>11</v>
      </c>
    </row>
    <row r="83" spans="1:7">
      <c r="A83" t="s">
        <v>102</v>
      </c>
      <c r="B83" s="2">
        <v>46051</v>
      </c>
      <c r="C83" t="s">
        <v>18</v>
      </c>
      <c r="D83" t="s">
        <v>9</v>
      </c>
      <c r="F83" s="3">
        <v>201.58</v>
      </c>
      <c r="G83" t="s">
        <v>11</v>
      </c>
    </row>
    <row r="84" spans="1:7">
      <c r="A84" t="s">
        <v>103</v>
      </c>
      <c r="B84" s="2">
        <v>45938</v>
      </c>
      <c r="C84" t="s">
        <v>18</v>
      </c>
      <c r="D84" t="s">
        <v>9</v>
      </c>
      <c r="E84" t="s">
        <v>104</v>
      </c>
      <c r="F84" s="3">
        <v>382.28</v>
      </c>
      <c r="G84" t="s">
        <v>14</v>
      </c>
    </row>
    <row r="85" spans="1:7">
      <c r="A85" t="s">
        <v>105</v>
      </c>
      <c r="B85" s="2">
        <v>45894</v>
      </c>
      <c r="C85" t="s">
        <v>13</v>
      </c>
      <c r="D85" t="s">
        <v>9</v>
      </c>
      <c r="E85" t="s">
        <v>10</v>
      </c>
      <c r="F85" s="3">
        <v>237.7</v>
      </c>
      <c r="G85" t="s">
        <v>14</v>
      </c>
    </row>
    <row r="86" spans="1:7">
      <c r="A86" t="s">
        <v>106</v>
      </c>
      <c r="B86" s="2">
        <v>45771</v>
      </c>
      <c r="C86" t="s">
        <v>13</v>
      </c>
      <c r="D86" t="s">
        <v>9</v>
      </c>
      <c r="E86" t="s">
        <v>10</v>
      </c>
      <c r="F86" s="3">
        <v>228.9</v>
      </c>
      <c r="G86" t="s">
        <v>14</v>
      </c>
    </row>
    <row r="87" spans="1:7">
      <c r="A87" t="s">
        <v>107</v>
      </c>
      <c r="B87" s="2"/>
      <c r="C87" t="s">
        <v>8</v>
      </c>
      <c r="D87" t="s">
        <v>9</v>
      </c>
      <c r="E87" t="s">
        <v>33</v>
      </c>
      <c r="F87" s="3">
        <v>161.69</v>
      </c>
      <c r="G87" t="s">
        <v>11</v>
      </c>
    </row>
    <row r="88" spans="1:7">
      <c r="A88" t="s">
        <v>108</v>
      </c>
      <c r="B88" s="2">
        <v>45711</v>
      </c>
      <c r="C88" t="s">
        <v>24</v>
      </c>
      <c r="D88" t="s">
        <v>22</v>
      </c>
      <c r="F88" s="3">
        <v>91.04</v>
      </c>
      <c r="G88" t="s">
        <v>14</v>
      </c>
    </row>
    <row r="89" spans="1:7">
      <c r="A89" t="s">
        <v>109</v>
      </c>
      <c r="B89" s="2">
        <v>45780</v>
      </c>
      <c r="C89" t="s">
        <v>18</v>
      </c>
      <c r="D89" t="s">
        <v>22</v>
      </c>
      <c r="E89" t="s">
        <v>10</v>
      </c>
      <c r="F89" s="3">
        <v>192.68</v>
      </c>
      <c r="G89" t="s">
        <v>14</v>
      </c>
    </row>
    <row r="90" spans="1:7">
      <c r="A90" t="s">
        <v>110</v>
      </c>
      <c r="B90" s="2">
        <v>46017</v>
      </c>
      <c r="C90" t="s">
        <v>13</v>
      </c>
      <c r="D90" t="s">
        <v>111</v>
      </c>
      <c r="F90" s="3">
        <v>228.18</v>
      </c>
      <c r="G90" t="s">
        <v>11</v>
      </c>
    </row>
    <row r="91" spans="1:7">
      <c r="A91" t="s">
        <v>112</v>
      </c>
      <c r="B91" s="2">
        <v>46003</v>
      </c>
      <c r="C91" t="s">
        <v>32</v>
      </c>
      <c r="D91" t="s">
        <v>9</v>
      </c>
      <c r="E91" t="s">
        <v>10</v>
      </c>
      <c r="F91" s="3">
        <v>123.39</v>
      </c>
      <c r="G91" t="s">
        <v>14</v>
      </c>
    </row>
    <row r="92" spans="1:7">
      <c r="A92" t="s">
        <v>113</v>
      </c>
      <c r="B92" s="2">
        <v>45963</v>
      </c>
      <c r="C92" t="s">
        <v>18</v>
      </c>
      <c r="E92" t="s">
        <v>33</v>
      </c>
      <c r="F92" s="3">
        <v>446.86</v>
      </c>
      <c r="G92" t="s">
        <v>14</v>
      </c>
    </row>
    <row r="93" spans="1:7">
      <c r="A93" t="s">
        <v>114</v>
      </c>
      <c r="B93" s="2">
        <v>45768</v>
      </c>
      <c r="C93" t="s">
        <v>32</v>
      </c>
      <c r="E93" t="s">
        <v>10</v>
      </c>
      <c r="F93" s="3">
        <v>123.37</v>
      </c>
      <c r="G93" t="s">
        <v>14</v>
      </c>
    </row>
    <row r="94" spans="1:7">
      <c r="A94" t="s">
        <v>20</v>
      </c>
      <c r="B94" s="2">
        <v>46047</v>
      </c>
      <c r="C94" t="s">
        <v>18</v>
      </c>
      <c r="D94" t="s">
        <v>9</v>
      </c>
      <c r="E94" t="s">
        <v>10</v>
      </c>
      <c r="F94" s="3">
        <v>194.15</v>
      </c>
      <c r="G94" t="s">
        <v>14</v>
      </c>
    </row>
    <row r="95" spans="1:7">
      <c r="A95" t="s">
        <v>115</v>
      </c>
      <c r="B95" s="2">
        <v>45702</v>
      </c>
      <c r="C95" t="s">
        <v>13</v>
      </c>
      <c r="D95" t="s">
        <v>9</v>
      </c>
      <c r="E95" t="s">
        <v>10</v>
      </c>
      <c r="F95" s="3">
        <v>274.17</v>
      </c>
      <c r="G95" t="s">
        <v>11</v>
      </c>
    </row>
    <row r="96" spans="1:7">
      <c r="A96" t="s">
        <v>116</v>
      </c>
      <c r="B96" s="2">
        <v>46217</v>
      </c>
      <c r="C96" t="s">
        <v>18</v>
      </c>
      <c r="D96" t="s">
        <v>9</v>
      </c>
      <c r="E96" t="s">
        <v>33</v>
      </c>
      <c r="F96" s="3">
        <v>406.61</v>
      </c>
      <c r="G96" t="s">
        <v>117</v>
      </c>
    </row>
    <row r="97" spans="1:7">
      <c r="A97" t="s">
        <v>118</v>
      </c>
      <c r="B97" s="2">
        <v>46071</v>
      </c>
      <c r="C97" t="s">
        <v>8</v>
      </c>
      <c r="D97" t="s">
        <v>9</v>
      </c>
      <c r="E97" t="s">
        <v>10</v>
      </c>
      <c r="F97" s="3">
        <v>116.98</v>
      </c>
      <c r="G97" t="s">
        <v>14</v>
      </c>
    </row>
    <row r="98" spans="1:7">
      <c r="A98" t="s">
        <v>119</v>
      </c>
      <c r="B98" s="2">
        <v>45681</v>
      </c>
      <c r="C98" t="s">
        <v>18</v>
      </c>
      <c r="D98" t="s">
        <v>9</v>
      </c>
      <c r="E98" t="s">
        <v>33</v>
      </c>
      <c r="F98" s="3">
        <v>454.37</v>
      </c>
      <c r="G98" t="s">
        <v>46</v>
      </c>
    </row>
    <row r="99" spans="1:7">
      <c r="A99" t="s">
        <v>120</v>
      </c>
      <c r="B99" s="2">
        <v>45685</v>
      </c>
      <c r="C99" t="s">
        <v>18</v>
      </c>
      <c r="D99" t="s">
        <v>9</v>
      </c>
      <c r="E99" t="s">
        <v>33</v>
      </c>
      <c r="F99" s="3">
        <v>464.55</v>
      </c>
      <c r="G99" t="s">
        <v>14</v>
      </c>
    </row>
    <row r="100" spans="1:7">
      <c r="B100" s="2">
        <v>45751</v>
      </c>
      <c r="C100" t="s">
        <v>24</v>
      </c>
      <c r="D100" t="s">
        <v>16</v>
      </c>
      <c r="E100" t="s">
        <v>10</v>
      </c>
      <c r="F100" s="3">
        <v>83.31</v>
      </c>
      <c r="G100" t="s">
        <v>11</v>
      </c>
    </row>
    <row r="101" spans="1:7">
      <c r="A101" t="s">
        <v>121</v>
      </c>
      <c r="B101" s="2">
        <v>45704</v>
      </c>
      <c r="C101" t="s">
        <v>13</v>
      </c>
      <c r="D101" t="s">
        <v>9</v>
      </c>
      <c r="E101" t="s">
        <v>10</v>
      </c>
      <c r="F101" s="3">
        <v>262.62</v>
      </c>
      <c r="G101" t="s">
        <v>14</v>
      </c>
    </row>
    <row r="102" spans="1:7">
      <c r="A102" t="s">
        <v>122</v>
      </c>
      <c r="B102" s="2">
        <v>45734</v>
      </c>
      <c r="D102" t="s">
        <v>9</v>
      </c>
      <c r="E102" t="s">
        <v>10</v>
      </c>
      <c r="F102" s="3">
        <v>85.04</v>
      </c>
      <c r="G102" t="s">
        <v>11</v>
      </c>
    </row>
    <row r="103" spans="1:7">
      <c r="A103" t="s">
        <v>123</v>
      </c>
      <c r="B103" s="2">
        <v>45833</v>
      </c>
      <c r="C103" t="s">
        <v>8</v>
      </c>
      <c r="D103" t="s">
        <v>9</v>
      </c>
      <c r="E103" t="s">
        <v>10</v>
      </c>
      <c r="F103" s="3"/>
      <c r="G103" t="s">
        <v>14</v>
      </c>
    </row>
    <row r="104" spans="1:7">
      <c r="A104" t="s">
        <v>124</v>
      </c>
      <c r="B104" s="2">
        <v>46068</v>
      </c>
      <c r="C104" t="s">
        <v>8</v>
      </c>
      <c r="E104" t="s">
        <v>10</v>
      </c>
      <c r="F104" s="3">
        <v>101</v>
      </c>
      <c r="G104" t="s">
        <v>46</v>
      </c>
    </row>
    <row r="105" spans="1:7">
      <c r="A105" t="s">
        <v>125</v>
      </c>
      <c r="B105" s="2">
        <v>45718</v>
      </c>
      <c r="C105" t="s">
        <v>18</v>
      </c>
      <c r="D105" t="s">
        <v>9</v>
      </c>
      <c r="E105" t="s">
        <v>33</v>
      </c>
      <c r="F105" s="3">
        <v>462.98</v>
      </c>
      <c r="G105" t="s">
        <v>14</v>
      </c>
    </row>
    <row r="106" spans="1:7">
      <c r="A106" t="s">
        <v>126</v>
      </c>
      <c r="B106" s="2">
        <v>46210</v>
      </c>
      <c r="C106" t="s">
        <v>18</v>
      </c>
      <c r="D106" t="s">
        <v>9</v>
      </c>
      <c r="E106" t="s">
        <v>10</v>
      </c>
      <c r="F106" s="3">
        <v>193.73</v>
      </c>
      <c r="G106" t="s">
        <v>14</v>
      </c>
    </row>
    <row r="107" spans="1:7">
      <c r="A107" t="s">
        <v>127</v>
      </c>
      <c r="B107" s="2">
        <v>45962</v>
      </c>
      <c r="C107" t="s">
        <v>13</v>
      </c>
      <c r="D107" t="s">
        <v>16</v>
      </c>
      <c r="E107" t="s">
        <v>33</v>
      </c>
      <c r="F107" s="3">
        <v>400.49</v>
      </c>
      <c r="G107" t="s">
        <v>11</v>
      </c>
    </row>
    <row r="108" spans="1:7">
      <c r="A108" t="s">
        <v>128</v>
      </c>
      <c r="B108" s="2"/>
      <c r="C108" t="s">
        <v>13</v>
      </c>
      <c r="D108" t="s">
        <v>9</v>
      </c>
      <c r="E108" t="s">
        <v>10</v>
      </c>
      <c r="F108" s="3">
        <v>289.69</v>
      </c>
      <c r="G108" t="s">
        <v>11</v>
      </c>
    </row>
    <row r="109" spans="1:7">
      <c r="A109" t="s">
        <v>129</v>
      </c>
      <c r="B109" s="2">
        <v>45996</v>
      </c>
      <c r="C109" t="s">
        <v>13</v>
      </c>
      <c r="D109" t="s">
        <v>9</v>
      </c>
      <c r="E109" t="s">
        <v>10</v>
      </c>
      <c r="F109" s="3">
        <v>277.38</v>
      </c>
      <c r="G109" t="s">
        <v>14</v>
      </c>
    </row>
    <row r="110" spans="1:7">
      <c r="A110" t="s">
        <v>130</v>
      </c>
      <c r="B110" s="2">
        <v>46217</v>
      </c>
      <c r="C110" t="s">
        <v>18</v>
      </c>
      <c r="D110" t="s">
        <v>16</v>
      </c>
      <c r="E110" t="s">
        <v>10</v>
      </c>
      <c r="F110" s="3">
        <v>250.25</v>
      </c>
      <c r="G110" t="s">
        <v>14</v>
      </c>
    </row>
    <row r="111" spans="1:7">
      <c r="A111" t="s">
        <v>131</v>
      </c>
      <c r="B111" s="2">
        <v>45805</v>
      </c>
      <c r="C111" t="s">
        <v>18</v>
      </c>
      <c r="E111" t="s">
        <v>10</v>
      </c>
      <c r="F111" s="3">
        <v>215</v>
      </c>
      <c r="G111" t="s">
        <v>11</v>
      </c>
    </row>
    <row r="112" spans="1:7">
      <c r="A112" t="s">
        <v>132</v>
      </c>
      <c r="B112" s="2">
        <v>45776</v>
      </c>
      <c r="C112" t="s">
        <v>13</v>
      </c>
      <c r="D112" t="s">
        <v>22</v>
      </c>
      <c r="E112" t="s">
        <v>10</v>
      </c>
      <c r="F112" s="3">
        <v>233.61</v>
      </c>
      <c r="G112" t="s">
        <v>46</v>
      </c>
    </row>
    <row r="113" spans="1:7">
      <c r="A113" t="s">
        <v>133</v>
      </c>
      <c r="B113" s="2">
        <v>45934</v>
      </c>
      <c r="C113" t="s">
        <v>8</v>
      </c>
      <c r="D113" t="s">
        <v>22</v>
      </c>
      <c r="E113" t="s">
        <v>10</v>
      </c>
      <c r="F113" s="3">
        <v>99.81</v>
      </c>
      <c r="G113" t="s">
        <v>14</v>
      </c>
    </row>
    <row r="114" spans="1:7">
      <c r="A114" t="s">
        <v>134</v>
      </c>
      <c r="B114" s="2">
        <v>45686</v>
      </c>
      <c r="C114" t="s">
        <v>32</v>
      </c>
      <c r="D114" t="s">
        <v>9</v>
      </c>
      <c r="E114" t="s">
        <v>10</v>
      </c>
      <c r="F114" s="3">
        <v>130.04</v>
      </c>
      <c r="G114" t="s">
        <v>14</v>
      </c>
    </row>
    <row r="115" spans="1:7">
      <c r="A115" t="s">
        <v>135</v>
      </c>
      <c r="B115" s="2">
        <v>46117</v>
      </c>
      <c r="C115" t="s">
        <v>18</v>
      </c>
      <c r="D115" t="s">
        <v>9</v>
      </c>
      <c r="F115" s="3">
        <v>240.98</v>
      </c>
      <c r="G115" t="s">
        <v>14</v>
      </c>
    </row>
    <row r="116" spans="1:7">
      <c r="A116" t="s">
        <v>136</v>
      </c>
      <c r="B116" s="2">
        <v>46189</v>
      </c>
      <c r="C116" t="s">
        <v>18</v>
      </c>
      <c r="D116" t="s">
        <v>9</v>
      </c>
      <c r="E116" t="s">
        <v>10</v>
      </c>
      <c r="F116" s="3">
        <v>230.22</v>
      </c>
      <c r="G116" t="s">
        <v>11</v>
      </c>
    </row>
    <row r="117" spans="1:7">
      <c r="A117" t="s">
        <v>137</v>
      </c>
      <c r="B117" s="2">
        <v>45924</v>
      </c>
      <c r="C117" t="s">
        <v>18</v>
      </c>
      <c r="D117" t="s">
        <v>9</v>
      </c>
      <c r="E117" t="s">
        <v>10</v>
      </c>
      <c r="F117" s="3">
        <v>190.36</v>
      </c>
    </row>
    <row r="118" spans="1:7">
      <c r="A118" t="s">
        <v>138</v>
      </c>
      <c r="B118" s="2">
        <v>45724</v>
      </c>
      <c r="C118" t="s">
        <v>13</v>
      </c>
      <c r="D118" t="s">
        <v>9</v>
      </c>
      <c r="E118" t="s">
        <v>33</v>
      </c>
      <c r="F118" s="3">
        <v>445.87</v>
      </c>
      <c r="G118" t="s">
        <v>46</v>
      </c>
    </row>
    <row r="119" spans="1:7">
      <c r="A119" t="s">
        <v>139</v>
      </c>
      <c r="B119" s="2">
        <v>45662</v>
      </c>
      <c r="C119" t="s">
        <v>8</v>
      </c>
      <c r="D119" t="s">
        <v>9</v>
      </c>
      <c r="E119" t="s">
        <v>10</v>
      </c>
      <c r="F119" s="3">
        <v>81.23</v>
      </c>
      <c r="G119" t="s">
        <v>84</v>
      </c>
    </row>
    <row r="120" spans="1:7">
      <c r="A120" t="s">
        <v>140</v>
      </c>
      <c r="B120" s="2">
        <v>46107</v>
      </c>
      <c r="C120" t="s">
        <v>8</v>
      </c>
      <c r="D120" t="s">
        <v>22</v>
      </c>
      <c r="E120" t="s">
        <v>10</v>
      </c>
      <c r="F120" s="3">
        <v>91.83</v>
      </c>
    </row>
    <row r="121" spans="1:7">
      <c r="A121" t="s">
        <v>141</v>
      </c>
      <c r="B121" s="2">
        <v>45856</v>
      </c>
      <c r="C121" t="s">
        <v>24</v>
      </c>
      <c r="D121" t="s">
        <v>9</v>
      </c>
      <c r="E121" t="s">
        <v>10</v>
      </c>
      <c r="F121" s="3">
        <v>99.46</v>
      </c>
      <c r="G121" t="s">
        <v>14</v>
      </c>
    </row>
    <row r="122" spans="1:7">
      <c r="A122" t="s">
        <v>142</v>
      </c>
      <c r="B122" s="2">
        <v>45663</v>
      </c>
      <c r="C122" t="s">
        <v>18</v>
      </c>
      <c r="D122" t="s">
        <v>22</v>
      </c>
      <c r="E122" t="s">
        <v>10</v>
      </c>
      <c r="F122" s="3">
        <v>213.92</v>
      </c>
      <c r="G122" t="s">
        <v>14</v>
      </c>
    </row>
    <row r="123" spans="1:7">
      <c r="A123" t="s">
        <v>143</v>
      </c>
      <c r="B123" s="2">
        <v>46058</v>
      </c>
      <c r="C123" t="s">
        <v>18</v>
      </c>
      <c r="D123" t="s">
        <v>9</v>
      </c>
      <c r="E123" t="s">
        <v>10</v>
      </c>
      <c r="F123" s="3">
        <v>266.23</v>
      </c>
      <c r="G123" t="s">
        <v>14</v>
      </c>
    </row>
    <row r="124" spans="1:7">
      <c r="A124" t="s">
        <v>144</v>
      </c>
      <c r="B124" s="2">
        <v>45854</v>
      </c>
      <c r="C124" t="s">
        <v>18</v>
      </c>
      <c r="D124" t="s">
        <v>9</v>
      </c>
      <c r="E124" t="s">
        <v>10</v>
      </c>
      <c r="F124" s="3">
        <v>243.07</v>
      </c>
      <c r="G124" t="s">
        <v>14</v>
      </c>
    </row>
    <row r="125" spans="1:7">
      <c r="A125" t="s">
        <v>145</v>
      </c>
      <c r="B125" s="2">
        <v>45917</v>
      </c>
      <c r="C125" t="s">
        <v>8</v>
      </c>
      <c r="E125" t="s">
        <v>10</v>
      </c>
      <c r="F125" s="3">
        <v>81.63</v>
      </c>
      <c r="G125" t="s">
        <v>14</v>
      </c>
    </row>
    <row r="126" spans="1:7">
      <c r="A126" t="s">
        <v>146</v>
      </c>
      <c r="B126" s="2">
        <v>45811</v>
      </c>
      <c r="C126" t="s">
        <v>32</v>
      </c>
      <c r="D126" t="s">
        <v>16</v>
      </c>
      <c r="E126" t="s">
        <v>10</v>
      </c>
      <c r="F126" s="3"/>
      <c r="G126" t="s">
        <v>14</v>
      </c>
    </row>
    <row r="127" spans="1:7">
      <c r="A127" t="s">
        <v>147</v>
      </c>
      <c r="B127" s="2">
        <v>45958</v>
      </c>
      <c r="C127" t="s">
        <v>13</v>
      </c>
      <c r="E127" t="s">
        <v>10</v>
      </c>
      <c r="F127" s="3">
        <v>281.52999999999997</v>
      </c>
      <c r="G127" t="s">
        <v>14</v>
      </c>
    </row>
    <row r="128" spans="1:7">
      <c r="A128" t="s">
        <v>148</v>
      </c>
      <c r="B128" s="2"/>
      <c r="C128" t="s">
        <v>18</v>
      </c>
      <c r="D128" t="s">
        <v>9</v>
      </c>
      <c r="E128" t="s">
        <v>10</v>
      </c>
      <c r="F128" s="3">
        <v>263.77</v>
      </c>
      <c r="G128" t="s">
        <v>14</v>
      </c>
    </row>
    <row r="129" spans="1:7">
      <c r="A129" t="s">
        <v>149</v>
      </c>
      <c r="B129" s="2">
        <v>46172</v>
      </c>
      <c r="C129" t="s">
        <v>32</v>
      </c>
      <c r="D129" t="s">
        <v>9</v>
      </c>
      <c r="E129" t="s">
        <v>33</v>
      </c>
      <c r="F129" s="3">
        <v>211.7</v>
      </c>
      <c r="G129" t="s">
        <v>14</v>
      </c>
    </row>
    <row r="130" spans="1:7">
      <c r="A130" t="s">
        <v>150</v>
      </c>
      <c r="B130" s="2">
        <v>46179</v>
      </c>
      <c r="C130" t="s">
        <v>18</v>
      </c>
      <c r="D130" t="s">
        <v>9</v>
      </c>
      <c r="E130" t="s">
        <v>10</v>
      </c>
      <c r="F130" s="3">
        <v>190.16</v>
      </c>
      <c r="G130" t="s">
        <v>14</v>
      </c>
    </row>
    <row r="131" spans="1:7">
      <c r="A131" t="s">
        <v>151</v>
      </c>
      <c r="B131" s="2">
        <v>46208</v>
      </c>
      <c r="C131" t="s">
        <v>32</v>
      </c>
      <c r="D131" t="s">
        <v>16</v>
      </c>
      <c r="E131" t="s">
        <v>10</v>
      </c>
      <c r="F131" s="3">
        <v>127.62</v>
      </c>
      <c r="G131" t="s">
        <v>14</v>
      </c>
    </row>
    <row r="132" spans="1:7">
      <c r="A132" t="s">
        <v>152</v>
      </c>
      <c r="B132" s="2">
        <v>45702</v>
      </c>
      <c r="C132" t="s">
        <v>32</v>
      </c>
      <c r="D132" t="s">
        <v>9</v>
      </c>
      <c r="E132" t="s">
        <v>10</v>
      </c>
      <c r="F132" s="3">
        <v>133.18</v>
      </c>
      <c r="G132" t="s">
        <v>14</v>
      </c>
    </row>
    <row r="133" spans="1:7">
      <c r="A133" t="s">
        <v>153</v>
      </c>
      <c r="B133" s="2">
        <v>46005</v>
      </c>
      <c r="C133" t="s">
        <v>8</v>
      </c>
      <c r="D133" t="s">
        <v>9</v>
      </c>
      <c r="E133" t="s">
        <v>10</v>
      </c>
      <c r="F133" s="3">
        <v>91.22</v>
      </c>
    </row>
    <row r="134" spans="1:7">
      <c r="A134" t="s">
        <v>154</v>
      </c>
      <c r="B134" s="2">
        <v>45822</v>
      </c>
      <c r="C134" t="s">
        <v>18</v>
      </c>
      <c r="D134" t="s">
        <v>9</v>
      </c>
      <c r="E134" t="s">
        <v>10</v>
      </c>
      <c r="F134" s="3">
        <v>205.78</v>
      </c>
      <c r="G134" t="s">
        <v>46</v>
      </c>
    </row>
    <row r="135" spans="1:7">
      <c r="A135" t="s">
        <v>155</v>
      </c>
      <c r="B135" s="2"/>
      <c r="C135" t="s">
        <v>24</v>
      </c>
      <c r="D135" t="s">
        <v>16</v>
      </c>
      <c r="E135" t="s">
        <v>10</v>
      </c>
      <c r="F135" s="3">
        <v>102.23</v>
      </c>
      <c r="G135" t="s">
        <v>71</v>
      </c>
    </row>
    <row r="136" spans="1:7">
      <c r="A136" t="s">
        <v>156</v>
      </c>
      <c r="B136" s="2">
        <v>46224</v>
      </c>
      <c r="C136" t="s">
        <v>8</v>
      </c>
      <c r="D136" t="s">
        <v>22</v>
      </c>
      <c r="E136" t="s">
        <v>10</v>
      </c>
      <c r="F136" s="3">
        <v>105.65</v>
      </c>
      <c r="G136" t="s">
        <v>14</v>
      </c>
    </row>
    <row r="137" spans="1:7">
      <c r="A137" t="s">
        <v>157</v>
      </c>
      <c r="B137" s="2">
        <v>46020</v>
      </c>
      <c r="C137" t="s">
        <v>32</v>
      </c>
      <c r="D137" t="s">
        <v>16</v>
      </c>
      <c r="E137" t="s">
        <v>10</v>
      </c>
      <c r="F137" s="3">
        <v>106.73</v>
      </c>
      <c r="G137" t="s">
        <v>14</v>
      </c>
    </row>
    <row r="138" spans="1:7">
      <c r="A138" t="s">
        <v>158</v>
      </c>
      <c r="B138" s="2">
        <v>45754</v>
      </c>
      <c r="C138" t="s">
        <v>18</v>
      </c>
      <c r="D138" t="s">
        <v>9</v>
      </c>
      <c r="E138" t="s">
        <v>10</v>
      </c>
      <c r="F138" s="3">
        <v>210.03</v>
      </c>
      <c r="G138" t="s">
        <v>14</v>
      </c>
    </row>
    <row r="139" spans="1:7">
      <c r="A139" t="s">
        <v>159</v>
      </c>
      <c r="B139" s="2">
        <v>46141</v>
      </c>
      <c r="C139" t="s">
        <v>13</v>
      </c>
      <c r="E139" t="s">
        <v>33</v>
      </c>
      <c r="F139" s="3">
        <v>482.4</v>
      </c>
      <c r="G139" t="s">
        <v>11</v>
      </c>
    </row>
    <row r="140" spans="1:7">
      <c r="A140" t="s">
        <v>160</v>
      </c>
      <c r="B140" s="2">
        <v>45926</v>
      </c>
      <c r="C140" t="s">
        <v>8</v>
      </c>
      <c r="D140" t="s">
        <v>9</v>
      </c>
      <c r="E140" t="s">
        <v>10</v>
      </c>
      <c r="F140" s="3">
        <v>113.95</v>
      </c>
      <c r="G140" t="s">
        <v>14</v>
      </c>
    </row>
    <row r="141" spans="1:7">
      <c r="A141" t="s">
        <v>161</v>
      </c>
      <c r="B141" s="2">
        <v>45792</v>
      </c>
      <c r="C141" t="s">
        <v>13</v>
      </c>
      <c r="D141" t="s">
        <v>9</v>
      </c>
      <c r="E141" t="s">
        <v>10</v>
      </c>
      <c r="F141" s="3">
        <v>293.93</v>
      </c>
      <c r="G141" t="s">
        <v>14</v>
      </c>
    </row>
    <row r="142" spans="1:7">
      <c r="A142" t="s">
        <v>162</v>
      </c>
      <c r="B142" s="2">
        <v>46090</v>
      </c>
      <c r="D142" t="s">
        <v>9</v>
      </c>
      <c r="E142" t="s">
        <v>10</v>
      </c>
      <c r="F142" s="3">
        <v>123.56</v>
      </c>
      <c r="G142" t="s">
        <v>14</v>
      </c>
    </row>
    <row r="143" spans="1:7">
      <c r="A143" t="s">
        <v>163</v>
      </c>
      <c r="B143" s="2">
        <v>45831</v>
      </c>
      <c r="C143" t="s">
        <v>8</v>
      </c>
      <c r="D143" t="s">
        <v>9</v>
      </c>
      <c r="E143" t="s">
        <v>10</v>
      </c>
      <c r="F143" s="3">
        <v>117.7</v>
      </c>
    </row>
    <row r="144" spans="1:7">
      <c r="B144" s="2">
        <v>46118</v>
      </c>
      <c r="C144" t="s">
        <v>18</v>
      </c>
      <c r="D144" t="s">
        <v>9</v>
      </c>
      <c r="E144" t="s">
        <v>10</v>
      </c>
      <c r="F144" s="3">
        <v>261.95999999999998</v>
      </c>
      <c r="G144" t="s">
        <v>14</v>
      </c>
    </row>
    <row r="145" spans="1:7">
      <c r="A145" t="s">
        <v>164</v>
      </c>
      <c r="B145" s="2">
        <v>45912</v>
      </c>
      <c r="C145" t="s">
        <v>13</v>
      </c>
      <c r="D145" t="s">
        <v>111</v>
      </c>
      <c r="E145" t="s">
        <v>33</v>
      </c>
      <c r="F145" s="3">
        <v>556.80999999999995</v>
      </c>
      <c r="G145" t="s">
        <v>14</v>
      </c>
    </row>
    <row r="146" spans="1:7">
      <c r="A146" t="s">
        <v>165</v>
      </c>
      <c r="B146" s="2">
        <v>46189</v>
      </c>
      <c r="D146" t="s">
        <v>9</v>
      </c>
      <c r="E146" t="s">
        <v>10</v>
      </c>
      <c r="F146" s="3">
        <v>79.55</v>
      </c>
      <c r="G146" t="s">
        <v>11</v>
      </c>
    </row>
    <row r="147" spans="1:7">
      <c r="A147" t="s">
        <v>166</v>
      </c>
      <c r="B147" s="2">
        <v>45702</v>
      </c>
      <c r="C147" t="s">
        <v>18</v>
      </c>
      <c r="D147" t="s">
        <v>9</v>
      </c>
      <c r="E147" t="s">
        <v>10</v>
      </c>
      <c r="F147" s="3">
        <v>228.1</v>
      </c>
      <c r="G147" t="s">
        <v>14</v>
      </c>
    </row>
    <row r="148" spans="1:7">
      <c r="A148" t="s">
        <v>167</v>
      </c>
      <c r="B148" s="2">
        <v>45857</v>
      </c>
      <c r="C148" t="s">
        <v>18</v>
      </c>
      <c r="D148" t="s">
        <v>9</v>
      </c>
      <c r="E148" t="s">
        <v>33</v>
      </c>
      <c r="F148" s="3">
        <v>427.93</v>
      </c>
      <c r="G148" t="s">
        <v>84</v>
      </c>
    </row>
    <row r="149" spans="1:7">
      <c r="B149" s="2">
        <v>46022</v>
      </c>
      <c r="C149" t="s">
        <v>18</v>
      </c>
      <c r="D149" t="s">
        <v>9</v>
      </c>
      <c r="E149" t="s">
        <v>10</v>
      </c>
      <c r="F149" s="3">
        <v>236.95</v>
      </c>
      <c r="G149" t="s">
        <v>14</v>
      </c>
    </row>
    <row r="150" spans="1:7">
      <c r="A150" t="s">
        <v>168</v>
      </c>
      <c r="B150" s="2">
        <v>46187</v>
      </c>
      <c r="C150" t="s">
        <v>18</v>
      </c>
      <c r="D150" t="s">
        <v>9</v>
      </c>
      <c r="E150" t="s">
        <v>10</v>
      </c>
      <c r="F150" s="3">
        <v>215.51</v>
      </c>
      <c r="G150" t="s">
        <v>14</v>
      </c>
    </row>
    <row r="151" spans="1:7">
      <c r="A151" t="s">
        <v>169</v>
      </c>
      <c r="B151" s="2">
        <v>45717</v>
      </c>
      <c r="C151" t="s">
        <v>8</v>
      </c>
      <c r="D151" t="s">
        <v>9</v>
      </c>
      <c r="E151" t="s">
        <v>104</v>
      </c>
      <c r="F151" s="3">
        <v>203.04</v>
      </c>
      <c r="G151" t="s">
        <v>46</v>
      </c>
    </row>
    <row r="152" spans="1:7">
      <c r="A152" t="s">
        <v>170</v>
      </c>
      <c r="B152" s="2">
        <v>46214</v>
      </c>
      <c r="C152" t="s">
        <v>13</v>
      </c>
      <c r="D152" t="s">
        <v>9</v>
      </c>
      <c r="E152" t="s">
        <v>33</v>
      </c>
      <c r="F152" s="3" t="s">
        <v>61</v>
      </c>
      <c r="G152" t="s">
        <v>14</v>
      </c>
    </row>
    <row r="153" spans="1:7">
      <c r="A153" t="s">
        <v>171</v>
      </c>
      <c r="B153" s="2">
        <v>46209</v>
      </c>
      <c r="C153" t="s">
        <v>18</v>
      </c>
      <c r="D153" t="s">
        <v>9</v>
      </c>
      <c r="E153" t="s">
        <v>10</v>
      </c>
      <c r="F153" s="3">
        <v>237.5</v>
      </c>
      <c r="G153" t="s">
        <v>14</v>
      </c>
    </row>
    <row r="154" spans="1:7">
      <c r="A154" t="s">
        <v>172</v>
      </c>
      <c r="B154" s="2">
        <v>45663</v>
      </c>
      <c r="C154" t="s">
        <v>18</v>
      </c>
      <c r="D154" t="s">
        <v>9</v>
      </c>
      <c r="E154" t="s">
        <v>10</v>
      </c>
      <c r="F154" s="3">
        <v>257.51</v>
      </c>
      <c r="G154" t="s">
        <v>14</v>
      </c>
    </row>
    <row r="155" spans="1:7">
      <c r="A155" t="s">
        <v>173</v>
      </c>
      <c r="B155" s="2">
        <v>45688</v>
      </c>
      <c r="C155" t="s">
        <v>84</v>
      </c>
      <c r="D155" t="s">
        <v>9</v>
      </c>
      <c r="E155" t="s">
        <v>10</v>
      </c>
      <c r="F155" s="3">
        <v>266.48</v>
      </c>
    </row>
    <row r="156" spans="1:7">
      <c r="A156" t="s">
        <v>174</v>
      </c>
      <c r="B156" s="2">
        <v>45703</v>
      </c>
      <c r="C156" t="s">
        <v>8</v>
      </c>
      <c r="D156" t="s">
        <v>9</v>
      </c>
      <c r="E156" t="s">
        <v>33</v>
      </c>
      <c r="F156" s="3">
        <v>211.49</v>
      </c>
      <c r="G156" t="s">
        <v>14</v>
      </c>
    </row>
    <row r="157" spans="1:7">
      <c r="A157" t="s">
        <v>175</v>
      </c>
      <c r="B157" s="2">
        <v>46099</v>
      </c>
      <c r="C157" t="s">
        <v>24</v>
      </c>
      <c r="D157" t="s">
        <v>9</v>
      </c>
      <c r="E157" t="s">
        <v>10</v>
      </c>
      <c r="F157" s="3">
        <v>83.61</v>
      </c>
      <c r="G157" t="s">
        <v>14</v>
      </c>
    </row>
    <row r="158" spans="1:7">
      <c r="A158" t="s">
        <v>176</v>
      </c>
      <c r="B158" s="2">
        <v>46147</v>
      </c>
      <c r="D158" t="s">
        <v>9</v>
      </c>
      <c r="E158" t="s">
        <v>10</v>
      </c>
      <c r="F158" s="3">
        <v>216.54</v>
      </c>
      <c r="G158" t="s">
        <v>14</v>
      </c>
    </row>
    <row r="159" spans="1:7">
      <c r="A159" t="s">
        <v>177</v>
      </c>
      <c r="B159" s="2">
        <v>45991</v>
      </c>
      <c r="C159" t="s">
        <v>8</v>
      </c>
      <c r="E159" t="s">
        <v>33</v>
      </c>
      <c r="F159" s="3">
        <v>208.46</v>
      </c>
      <c r="G159" t="s">
        <v>14</v>
      </c>
    </row>
    <row r="160" spans="1:7">
      <c r="A160" t="s">
        <v>178</v>
      </c>
      <c r="B160" s="2">
        <v>46028</v>
      </c>
      <c r="C160" t="s">
        <v>8</v>
      </c>
      <c r="D160" t="s">
        <v>9</v>
      </c>
      <c r="E160" t="s">
        <v>10</v>
      </c>
      <c r="F160" s="3">
        <v>96.79</v>
      </c>
      <c r="G160" t="s">
        <v>11</v>
      </c>
    </row>
    <row r="161" spans="1:7">
      <c r="A161" t="s">
        <v>179</v>
      </c>
      <c r="B161" s="2">
        <v>46107</v>
      </c>
      <c r="C161" t="s">
        <v>18</v>
      </c>
      <c r="D161" t="s">
        <v>16</v>
      </c>
      <c r="E161" t="s">
        <v>10</v>
      </c>
      <c r="F161" s="3">
        <v>200.6</v>
      </c>
      <c r="G161" t="s">
        <v>11</v>
      </c>
    </row>
    <row r="162" spans="1:7">
      <c r="A162" t="s">
        <v>180</v>
      </c>
      <c r="B162" s="2">
        <v>46002</v>
      </c>
      <c r="C162" t="s">
        <v>13</v>
      </c>
      <c r="D162" t="s">
        <v>9</v>
      </c>
      <c r="E162" t="s">
        <v>10</v>
      </c>
      <c r="F162" s="3">
        <v>209.84</v>
      </c>
      <c r="G162" t="s">
        <v>14</v>
      </c>
    </row>
    <row r="163" spans="1:7">
      <c r="A163" t="s">
        <v>181</v>
      </c>
      <c r="B163" s="2">
        <v>45872</v>
      </c>
      <c r="C163" t="s">
        <v>8</v>
      </c>
      <c r="E163" t="s">
        <v>10</v>
      </c>
      <c r="F163" s="3">
        <v>117.64</v>
      </c>
      <c r="G163" t="s">
        <v>14</v>
      </c>
    </row>
    <row r="164" spans="1:7">
      <c r="A164" t="s">
        <v>182</v>
      </c>
      <c r="B164" s="2"/>
      <c r="C164" t="s">
        <v>8</v>
      </c>
      <c r="D164" t="s">
        <v>16</v>
      </c>
      <c r="E164" t="s">
        <v>33</v>
      </c>
      <c r="F164" s="3">
        <v>224.87</v>
      </c>
      <c r="G164" t="s">
        <v>46</v>
      </c>
    </row>
    <row r="165" spans="1:7">
      <c r="A165" t="s">
        <v>183</v>
      </c>
      <c r="B165" s="2">
        <v>46035</v>
      </c>
      <c r="C165" t="s">
        <v>18</v>
      </c>
      <c r="D165" t="s">
        <v>9</v>
      </c>
      <c r="E165" t="s">
        <v>33</v>
      </c>
      <c r="F165" s="3">
        <v>482.08</v>
      </c>
      <c r="G165" t="s">
        <v>14</v>
      </c>
    </row>
    <row r="166" spans="1:7">
      <c r="A166" t="s">
        <v>184</v>
      </c>
      <c r="B166" s="2">
        <v>45992</v>
      </c>
      <c r="C166" t="s">
        <v>18</v>
      </c>
      <c r="D166" t="s">
        <v>9</v>
      </c>
      <c r="E166" t="s">
        <v>10</v>
      </c>
      <c r="F166" s="3">
        <v>194.84</v>
      </c>
      <c r="G166" t="s">
        <v>46</v>
      </c>
    </row>
    <row r="167" spans="1:7">
      <c r="A167" t="s">
        <v>185</v>
      </c>
      <c r="B167" s="2">
        <v>45776</v>
      </c>
      <c r="C167" t="s">
        <v>18</v>
      </c>
      <c r="D167" t="s">
        <v>9</v>
      </c>
      <c r="E167" t="s">
        <v>10</v>
      </c>
      <c r="F167" s="3">
        <v>259.44</v>
      </c>
      <c r="G167" t="s">
        <v>14</v>
      </c>
    </row>
    <row r="168" spans="1:7">
      <c r="A168" t="s">
        <v>186</v>
      </c>
      <c r="B168" s="2">
        <v>46165</v>
      </c>
      <c r="C168" t="s">
        <v>8</v>
      </c>
      <c r="E168" t="s">
        <v>10</v>
      </c>
      <c r="F168" s="3">
        <v>85.9</v>
      </c>
      <c r="G168" t="s">
        <v>11</v>
      </c>
    </row>
    <row r="169" spans="1:7">
      <c r="A169" t="s">
        <v>187</v>
      </c>
      <c r="B169" s="2">
        <v>46184</v>
      </c>
      <c r="C169" t="s">
        <v>13</v>
      </c>
      <c r="D169" t="s">
        <v>9</v>
      </c>
      <c r="E169" t="s">
        <v>10</v>
      </c>
      <c r="F169" s="3">
        <v>224.79</v>
      </c>
      <c r="G169" t="s">
        <v>14</v>
      </c>
    </row>
    <row r="170" spans="1:7">
      <c r="B170" s="2">
        <v>46035</v>
      </c>
      <c r="C170" t="s">
        <v>13</v>
      </c>
      <c r="D170" t="s">
        <v>9</v>
      </c>
      <c r="E170" t="s">
        <v>10</v>
      </c>
      <c r="F170" s="3">
        <v>261.83999999999997</v>
      </c>
      <c r="G170" t="s">
        <v>14</v>
      </c>
    </row>
    <row r="171" spans="1:7">
      <c r="A171" t="s">
        <v>188</v>
      </c>
      <c r="B171" s="2">
        <v>45992</v>
      </c>
      <c r="C171" t="s">
        <v>8</v>
      </c>
      <c r="D171" t="s">
        <v>9</v>
      </c>
      <c r="E171" t="s">
        <v>10</v>
      </c>
      <c r="F171" s="3">
        <v>100.76</v>
      </c>
      <c r="G171" t="s">
        <v>14</v>
      </c>
    </row>
    <row r="172" spans="1:7">
      <c r="A172" t="s">
        <v>189</v>
      </c>
      <c r="B172" s="2">
        <v>45810</v>
      </c>
      <c r="C172" t="s">
        <v>32</v>
      </c>
      <c r="D172" t="s">
        <v>9</v>
      </c>
      <c r="E172" t="s">
        <v>10</v>
      </c>
      <c r="F172" s="3">
        <v>133.66</v>
      </c>
      <c r="G172" t="s">
        <v>14</v>
      </c>
    </row>
    <row r="173" spans="1:7">
      <c r="A173" t="s">
        <v>190</v>
      </c>
      <c r="B173" s="2">
        <v>45776</v>
      </c>
      <c r="C173" t="s">
        <v>13</v>
      </c>
      <c r="D173" t="s">
        <v>16</v>
      </c>
      <c r="E173" t="s">
        <v>10</v>
      </c>
      <c r="F173" s="3">
        <v>255.81</v>
      </c>
      <c r="G173" t="s">
        <v>46</v>
      </c>
    </row>
    <row r="174" spans="1:7">
      <c r="A174" t="s">
        <v>191</v>
      </c>
      <c r="B174" s="2">
        <v>45729</v>
      </c>
      <c r="D174" t="s">
        <v>9</v>
      </c>
      <c r="E174" t="s">
        <v>10</v>
      </c>
      <c r="F174" s="3">
        <v>243.15</v>
      </c>
      <c r="G174" t="s">
        <v>14</v>
      </c>
    </row>
    <row r="175" spans="1:7">
      <c r="B175" s="2">
        <v>45758</v>
      </c>
      <c r="C175" t="s">
        <v>8</v>
      </c>
      <c r="D175" t="s">
        <v>9</v>
      </c>
      <c r="E175" t="s">
        <v>10</v>
      </c>
      <c r="F175" s="3">
        <v>88.06</v>
      </c>
      <c r="G175" t="s">
        <v>14</v>
      </c>
    </row>
    <row r="176" spans="1:7">
      <c r="A176" t="s">
        <v>192</v>
      </c>
      <c r="B176" s="2">
        <v>45880</v>
      </c>
      <c r="C176" t="s">
        <v>24</v>
      </c>
      <c r="D176" t="s">
        <v>9</v>
      </c>
      <c r="F176" s="3">
        <v>81.39</v>
      </c>
      <c r="G176" t="s">
        <v>46</v>
      </c>
    </row>
    <row r="177" spans="1:7">
      <c r="A177" t="s">
        <v>193</v>
      </c>
      <c r="B177" s="2">
        <v>45878</v>
      </c>
      <c r="C177" t="s">
        <v>13</v>
      </c>
      <c r="D177" t="s">
        <v>9</v>
      </c>
      <c r="F177" s="3">
        <v>275.36</v>
      </c>
      <c r="G177" t="s">
        <v>14</v>
      </c>
    </row>
    <row r="178" spans="1:7">
      <c r="A178" t="s">
        <v>194</v>
      </c>
      <c r="B178" s="2"/>
      <c r="C178" t="s">
        <v>8</v>
      </c>
      <c r="D178" t="s">
        <v>16</v>
      </c>
      <c r="E178" t="s">
        <v>10</v>
      </c>
      <c r="F178" s="3">
        <v>91.64</v>
      </c>
      <c r="G178" t="s">
        <v>14</v>
      </c>
    </row>
    <row r="179" spans="1:7">
      <c r="A179" t="s">
        <v>195</v>
      </c>
      <c r="B179" s="2">
        <v>45773</v>
      </c>
      <c r="C179" t="s">
        <v>13</v>
      </c>
      <c r="D179" t="s">
        <v>9</v>
      </c>
      <c r="E179" t="s">
        <v>10</v>
      </c>
      <c r="F179" s="3">
        <v>232.69</v>
      </c>
      <c r="G179" t="s">
        <v>14</v>
      </c>
    </row>
    <row r="180" spans="1:7">
      <c r="A180" t="s">
        <v>196</v>
      </c>
      <c r="B180" s="2">
        <v>45680</v>
      </c>
      <c r="C180" t="s">
        <v>18</v>
      </c>
      <c r="D180" t="s">
        <v>9</v>
      </c>
      <c r="E180" t="s">
        <v>10</v>
      </c>
      <c r="F180" s="3">
        <v>258.45999999999998</v>
      </c>
      <c r="G180" t="s">
        <v>14</v>
      </c>
    </row>
    <row r="181" spans="1:7">
      <c r="A181" t="s">
        <v>197</v>
      </c>
      <c r="B181" s="2">
        <v>45984</v>
      </c>
      <c r="C181" t="s">
        <v>13</v>
      </c>
      <c r="D181" t="s">
        <v>9</v>
      </c>
      <c r="E181" t="s">
        <v>10</v>
      </c>
      <c r="F181" s="3">
        <v>281.02999999999997</v>
      </c>
      <c r="G181" t="s">
        <v>11</v>
      </c>
    </row>
    <row r="182" spans="1:7">
      <c r="A182" t="s">
        <v>198</v>
      </c>
      <c r="B182" s="2">
        <v>45800</v>
      </c>
      <c r="C182" t="s">
        <v>18</v>
      </c>
      <c r="D182" t="s">
        <v>9</v>
      </c>
      <c r="E182" t="s">
        <v>33</v>
      </c>
      <c r="F182" s="3">
        <v>380.87</v>
      </c>
      <c r="G182" t="s">
        <v>11</v>
      </c>
    </row>
    <row r="183" spans="1:7">
      <c r="A183" t="s">
        <v>199</v>
      </c>
      <c r="B183" s="2">
        <v>45754</v>
      </c>
      <c r="C183" t="s">
        <v>32</v>
      </c>
      <c r="D183" t="s">
        <v>9</v>
      </c>
      <c r="E183" t="s">
        <v>10</v>
      </c>
      <c r="F183" s="3">
        <v>111.08</v>
      </c>
      <c r="G183" t="s">
        <v>14</v>
      </c>
    </row>
    <row r="184" spans="1:7">
      <c r="A184" t="s">
        <v>200</v>
      </c>
      <c r="B184" s="2">
        <v>45915</v>
      </c>
      <c r="C184" t="s">
        <v>8</v>
      </c>
      <c r="D184" t="s">
        <v>22</v>
      </c>
      <c r="E184" t="s">
        <v>10</v>
      </c>
      <c r="F184" s="3">
        <v>101.68</v>
      </c>
      <c r="G184" t="s">
        <v>14</v>
      </c>
    </row>
    <row r="185" spans="1:7">
      <c r="A185" t="s">
        <v>201</v>
      </c>
      <c r="B185" s="2">
        <v>46221</v>
      </c>
      <c r="C185" t="s">
        <v>13</v>
      </c>
      <c r="D185" t="s">
        <v>9</v>
      </c>
      <c r="E185" t="s">
        <v>10</v>
      </c>
      <c r="F185" s="3">
        <v>236.07</v>
      </c>
      <c r="G185" t="s">
        <v>14</v>
      </c>
    </row>
    <row r="186" spans="1:7">
      <c r="A186" t="s">
        <v>202</v>
      </c>
      <c r="B186" s="2">
        <v>45815</v>
      </c>
      <c r="C186" t="s">
        <v>8</v>
      </c>
      <c r="D186" t="s">
        <v>9</v>
      </c>
      <c r="E186" t="s">
        <v>10</v>
      </c>
      <c r="F186" s="3">
        <v>97.35</v>
      </c>
      <c r="G186" t="s">
        <v>11</v>
      </c>
    </row>
    <row r="187" spans="1:7">
      <c r="A187" t="s">
        <v>203</v>
      </c>
      <c r="B187" s="2">
        <v>46208</v>
      </c>
      <c r="C187" t="s">
        <v>32</v>
      </c>
      <c r="D187" t="s">
        <v>9</v>
      </c>
      <c r="E187" t="s">
        <v>10</v>
      </c>
      <c r="F187" s="3">
        <v>137.24</v>
      </c>
      <c r="G187" t="s">
        <v>14</v>
      </c>
    </row>
    <row r="188" spans="1:7">
      <c r="A188" t="s">
        <v>204</v>
      </c>
      <c r="B188" s="2">
        <v>46150</v>
      </c>
      <c r="C188" t="s">
        <v>32</v>
      </c>
      <c r="D188" t="s">
        <v>9</v>
      </c>
      <c r="E188" t="s">
        <v>10</v>
      </c>
      <c r="F188" s="3">
        <v>124.97</v>
      </c>
      <c r="G188" t="s">
        <v>14</v>
      </c>
    </row>
    <row r="189" spans="1:7">
      <c r="A189" t="s">
        <v>205</v>
      </c>
      <c r="B189" s="2">
        <v>46043</v>
      </c>
      <c r="C189" t="s">
        <v>13</v>
      </c>
      <c r="D189" t="s">
        <v>9</v>
      </c>
      <c r="E189" t="s">
        <v>10</v>
      </c>
      <c r="F189" s="3">
        <v>263.25</v>
      </c>
      <c r="G189" t="s">
        <v>46</v>
      </c>
    </row>
    <row r="190" spans="1:7">
      <c r="A190" t="s">
        <v>206</v>
      </c>
      <c r="B190" s="2">
        <v>46180</v>
      </c>
      <c r="C190" t="s">
        <v>18</v>
      </c>
      <c r="D190" t="s">
        <v>9</v>
      </c>
      <c r="E190" t="s">
        <v>10</v>
      </c>
      <c r="F190" s="3"/>
      <c r="G190" t="s">
        <v>14</v>
      </c>
    </row>
    <row r="191" spans="1:7">
      <c r="A191" t="s">
        <v>207</v>
      </c>
      <c r="B191" s="2">
        <v>46163</v>
      </c>
      <c r="C191" t="s">
        <v>8</v>
      </c>
      <c r="D191" t="s">
        <v>9</v>
      </c>
      <c r="E191" t="s">
        <v>10</v>
      </c>
      <c r="F191" s="3">
        <v>92.48</v>
      </c>
      <c r="G191" t="s">
        <v>11</v>
      </c>
    </row>
    <row r="192" spans="1:7">
      <c r="A192" t="s">
        <v>208</v>
      </c>
      <c r="B192" s="2">
        <v>46057</v>
      </c>
      <c r="C192" t="s">
        <v>18</v>
      </c>
      <c r="D192" t="s">
        <v>9</v>
      </c>
      <c r="E192" t="s">
        <v>10</v>
      </c>
      <c r="F192" s="3">
        <v>212.25</v>
      </c>
      <c r="G192" t="s">
        <v>14</v>
      </c>
    </row>
    <row r="193" spans="1:7">
      <c r="A193" t="s">
        <v>209</v>
      </c>
      <c r="B193" s="2">
        <v>45787</v>
      </c>
      <c r="C193" t="s">
        <v>8</v>
      </c>
      <c r="E193" t="s">
        <v>10</v>
      </c>
      <c r="F193" s="3">
        <v>89.2</v>
      </c>
      <c r="G193" t="s">
        <v>11</v>
      </c>
    </row>
    <row r="194" spans="1:7">
      <c r="A194" t="s">
        <v>210</v>
      </c>
      <c r="B194" s="2">
        <v>46146</v>
      </c>
      <c r="C194" t="s">
        <v>18</v>
      </c>
      <c r="D194" t="s">
        <v>9</v>
      </c>
      <c r="E194" t="s">
        <v>10</v>
      </c>
      <c r="F194" s="3">
        <v>231.65</v>
      </c>
      <c r="G194" t="s">
        <v>11</v>
      </c>
    </row>
    <row r="195" spans="1:7">
      <c r="A195" t="s">
        <v>211</v>
      </c>
      <c r="B195" s="2">
        <v>46021</v>
      </c>
      <c r="C195" t="s">
        <v>24</v>
      </c>
      <c r="D195" t="s">
        <v>9</v>
      </c>
      <c r="E195" t="s">
        <v>33</v>
      </c>
      <c r="F195" s="3">
        <v>190.51</v>
      </c>
      <c r="G195" t="s">
        <v>46</v>
      </c>
    </row>
    <row r="196" spans="1:7">
      <c r="A196" t="s">
        <v>212</v>
      </c>
      <c r="B196" s="2"/>
      <c r="C196" t="s">
        <v>18</v>
      </c>
      <c r="D196" t="s">
        <v>9</v>
      </c>
      <c r="E196" t="s">
        <v>10</v>
      </c>
      <c r="F196" s="3">
        <v>195.07</v>
      </c>
      <c r="G196" t="s">
        <v>11</v>
      </c>
    </row>
    <row r="197" spans="1:7">
      <c r="A197" t="s">
        <v>213</v>
      </c>
      <c r="B197" s="2">
        <v>46198</v>
      </c>
      <c r="C197" t="s">
        <v>8</v>
      </c>
      <c r="D197" t="s">
        <v>9</v>
      </c>
      <c r="E197" t="s">
        <v>214</v>
      </c>
      <c r="F197" s="3">
        <v>86.3</v>
      </c>
      <c r="G197" t="s">
        <v>14</v>
      </c>
    </row>
    <row r="198" spans="1:7">
      <c r="A198" t="s">
        <v>215</v>
      </c>
      <c r="B198" s="2">
        <v>45896</v>
      </c>
      <c r="C198" t="s">
        <v>8</v>
      </c>
      <c r="D198" t="s">
        <v>22</v>
      </c>
      <c r="E198" t="s">
        <v>10</v>
      </c>
      <c r="F198" s="3">
        <v>83.73</v>
      </c>
    </row>
    <row r="199" spans="1:7">
      <c r="B199" s="2">
        <v>45806</v>
      </c>
      <c r="C199" t="s">
        <v>13</v>
      </c>
      <c r="D199" t="s">
        <v>9</v>
      </c>
      <c r="E199" t="s">
        <v>10</v>
      </c>
      <c r="F199" s="3">
        <v>205.57</v>
      </c>
      <c r="G199" t="s">
        <v>14</v>
      </c>
    </row>
    <row r="200" spans="1:7">
      <c r="A200" t="s">
        <v>216</v>
      </c>
      <c r="B200" s="2">
        <v>46071</v>
      </c>
      <c r="C200" t="s">
        <v>32</v>
      </c>
      <c r="D200" t="s">
        <v>16</v>
      </c>
      <c r="E200" t="s">
        <v>10</v>
      </c>
      <c r="F200" s="3" t="s">
        <v>61</v>
      </c>
      <c r="G200" t="s">
        <v>11</v>
      </c>
    </row>
    <row r="201" spans="1:7">
      <c r="A201" t="s">
        <v>217</v>
      </c>
      <c r="B201" s="2">
        <v>45961</v>
      </c>
      <c r="C201" t="s">
        <v>32</v>
      </c>
      <c r="D201" t="s">
        <v>9</v>
      </c>
      <c r="E201" t="s">
        <v>10</v>
      </c>
      <c r="F201" s="3">
        <v>105.72</v>
      </c>
      <c r="G201" t="s">
        <v>14</v>
      </c>
    </row>
    <row r="202" spans="1:7">
      <c r="A202" t="s">
        <v>218</v>
      </c>
      <c r="B202" s="2">
        <v>45868</v>
      </c>
      <c r="C202" t="s">
        <v>32</v>
      </c>
      <c r="D202" t="s">
        <v>9</v>
      </c>
      <c r="E202" t="s">
        <v>10</v>
      </c>
      <c r="F202" s="3">
        <v>121.12</v>
      </c>
      <c r="G202" t="s">
        <v>14</v>
      </c>
    </row>
    <row r="203" spans="1:7">
      <c r="A203" t="s">
        <v>219</v>
      </c>
      <c r="B203" s="2">
        <v>45827</v>
      </c>
      <c r="C203" t="s">
        <v>18</v>
      </c>
      <c r="D203" t="s">
        <v>9</v>
      </c>
      <c r="E203" t="s">
        <v>10</v>
      </c>
      <c r="F203" s="3">
        <v>197.77</v>
      </c>
      <c r="G203" t="s">
        <v>14</v>
      </c>
    </row>
    <row r="204" spans="1:7">
      <c r="A204" t="s">
        <v>220</v>
      </c>
      <c r="B204" s="2"/>
      <c r="C204" t="s">
        <v>13</v>
      </c>
      <c r="D204" t="s">
        <v>9</v>
      </c>
      <c r="E204" t="s">
        <v>10</v>
      </c>
      <c r="F204" s="3">
        <v>296.2</v>
      </c>
      <c r="G204" t="s">
        <v>46</v>
      </c>
    </row>
    <row r="205" spans="1:7">
      <c r="A205" t="s">
        <v>221</v>
      </c>
      <c r="B205" s="2">
        <v>45873</v>
      </c>
      <c r="C205" t="s">
        <v>24</v>
      </c>
      <c r="D205" t="s">
        <v>9</v>
      </c>
      <c r="F205" s="3">
        <v>85.69</v>
      </c>
      <c r="G205" t="s">
        <v>11</v>
      </c>
    </row>
    <row r="206" spans="1:7">
      <c r="A206" t="s">
        <v>222</v>
      </c>
      <c r="B206" s="2">
        <v>46028</v>
      </c>
      <c r="C206" t="s">
        <v>18</v>
      </c>
      <c r="D206" t="s">
        <v>9</v>
      </c>
      <c r="E206" t="s">
        <v>33</v>
      </c>
      <c r="F206" s="3">
        <v>427.82</v>
      </c>
      <c r="G206" t="s">
        <v>14</v>
      </c>
    </row>
    <row r="207" spans="1:7">
      <c r="A207" t="s">
        <v>223</v>
      </c>
      <c r="B207" s="2">
        <v>45931</v>
      </c>
      <c r="C207" t="s">
        <v>24</v>
      </c>
      <c r="D207" t="s">
        <v>9</v>
      </c>
      <c r="E207" t="s">
        <v>10</v>
      </c>
      <c r="F207" s="3">
        <v>82.61</v>
      </c>
      <c r="G207" t="s">
        <v>14</v>
      </c>
    </row>
    <row r="208" spans="1:7">
      <c r="A208" t="s">
        <v>224</v>
      </c>
      <c r="B208" s="2">
        <v>45928</v>
      </c>
      <c r="C208" t="s">
        <v>18</v>
      </c>
      <c r="D208" t="s">
        <v>16</v>
      </c>
      <c r="E208" t="s">
        <v>10</v>
      </c>
      <c r="F208" s="3"/>
      <c r="G208" t="s">
        <v>14</v>
      </c>
    </row>
    <row r="209" spans="1:7">
      <c r="A209" t="s">
        <v>225</v>
      </c>
      <c r="B209" s="2">
        <v>45881</v>
      </c>
      <c r="C209" t="s">
        <v>13</v>
      </c>
      <c r="D209" t="s">
        <v>9</v>
      </c>
      <c r="E209" t="s">
        <v>10</v>
      </c>
      <c r="F209" s="3">
        <v>273.64</v>
      </c>
      <c r="G209" t="s">
        <v>14</v>
      </c>
    </row>
    <row r="210" spans="1:7">
      <c r="A210" t="s">
        <v>226</v>
      </c>
      <c r="B210" s="2">
        <v>46033</v>
      </c>
      <c r="C210" t="s">
        <v>13</v>
      </c>
      <c r="D210" t="s">
        <v>9</v>
      </c>
      <c r="E210" t="s">
        <v>10</v>
      </c>
      <c r="F210" s="3">
        <v>296.62</v>
      </c>
      <c r="G210" t="s">
        <v>14</v>
      </c>
    </row>
    <row r="211" spans="1:7">
      <c r="A211" t="s">
        <v>227</v>
      </c>
      <c r="B211" s="2"/>
      <c r="C211" t="s">
        <v>13</v>
      </c>
      <c r="D211" t="s">
        <v>9</v>
      </c>
      <c r="E211" t="s">
        <v>10</v>
      </c>
      <c r="F211" s="3">
        <v>241.42</v>
      </c>
      <c r="G211" t="s">
        <v>14</v>
      </c>
    </row>
    <row r="212" spans="1:7">
      <c r="A212" t="s">
        <v>133</v>
      </c>
      <c r="B212" s="2">
        <v>45934</v>
      </c>
      <c r="C212" t="s">
        <v>8</v>
      </c>
      <c r="D212" t="s">
        <v>22</v>
      </c>
      <c r="E212" t="s">
        <v>10</v>
      </c>
      <c r="F212" s="3">
        <v>99.81</v>
      </c>
      <c r="G212" t="s">
        <v>14</v>
      </c>
    </row>
    <row r="213" spans="1:7">
      <c r="A213" t="s">
        <v>228</v>
      </c>
      <c r="B213" s="2">
        <v>45940</v>
      </c>
      <c r="C213" t="s">
        <v>24</v>
      </c>
      <c r="D213" t="s">
        <v>16</v>
      </c>
      <c r="E213" t="s">
        <v>10</v>
      </c>
      <c r="F213" s="3">
        <v>106.86</v>
      </c>
      <c r="G213" t="s">
        <v>46</v>
      </c>
    </row>
    <row r="214" spans="1:7">
      <c r="A214" t="s">
        <v>229</v>
      </c>
      <c r="B214" s="2">
        <v>46107</v>
      </c>
      <c r="C214" t="s">
        <v>18</v>
      </c>
      <c r="D214" t="s">
        <v>9</v>
      </c>
      <c r="E214" t="s">
        <v>10</v>
      </c>
      <c r="F214" s="3">
        <v>269.86</v>
      </c>
    </row>
    <row r="215" spans="1:7">
      <c r="A215" t="s">
        <v>230</v>
      </c>
      <c r="B215" s="2">
        <v>45981</v>
      </c>
      <c r="C215" t="s">
        <v>24</v>
      </c>
      <c r="D215" t="s">
        <v>16</v>
      </c>
      <c r="E215" t="s">
        <v>10</v>
      </c>
      <c r="F215" s="3">
        <v>78.36</v>
      </c>
      <c r="G215" t="s">
        <v>14</v>
      </c>
    </row>
    <row r="216" spans="1:7">
      <c r="A216" t="s">
        <v>231</v>
      </c>
      <c r="B216" s="2">
        <v>45905</v>
      </c>
      <c r="C216" t="s">
        <v>8</v>
      </c>
      <c r="D216" t="s">
        <v>9</v>
      </c>
      <c r="E216" t="s">
        <v>10</v>
      </c>
      <c r="F216" s="3">
        <v>95.61</v>
      </c>
      <c r="G216" t="s">
        <v>11</v>
      </c>
    </row>
    <row r="217" spans="1:7">
      <c r="A217" t="s">
        <v>189</v>
      </c>
      <c r="B217" s="2">
        <v>45810</v>
      </c>
      <c r="C217" t="s">
        <v>32</v>
      </c>
      <c r="D217" t="s">
        <v>9</v>
      </c>
      <c r="E217" t="s">
        <v>10</v>
      </c>
      <c r="F217" s="3">
        <v>133.66</v>
      </c>
      <c r="G217" t="s">
        <v>14</v>
      </c>
    </row>
    <row r="218" spans="1:7">
      <c r="A218" t="s">
        <v>232</v>
      </c>
      <c r="B218" s="2">
        <v>46167</v>
      </c>
      <c r="C218" t="s">
        <v>8</v>
      </c>
      <c r="D218" t="s">
        <v>9</v>
      </c>
      <c r="E218" t="s">
        <v>10</v>
      </c>
      <c r="F218" s="3"/>
      <c r="G218" t="s">
        <v>14</v>
      </c>
    </row>
    <row r="219" spans="1:7">
      <c r="A219" t="s">
        <v>233</v>
      </c>
      <c r="B219" s="2">
        <v>45921</v>
      </c>
      <c r="C219" t="s">
        <v>18</v>
      </c>
      <c r="D219" t="s">
        <v>9</v>
      </c>
      <c r="E219" t="s">
        <v>10</v>
      </c>
      <c r="F219" s="3">
        <v>266.08999999999997</v>
      </c>
    </row>
    <row r="220" spans="1:7">
      <c r="A220" t="s">
        <v>234</v>
      </c>
      <c r="B220" s="2">
        <v>45832</v>
      </c>
      <c r="C220" t="s">
        <v>8</v>
      </c>
      <c r="D220" t="s">
        <v>9</v>
      </c>
      <c r="E220" t="s">
        <v>10</v>
      </c>
      <c r="F220" s="3">
        <v>102.25</v>
      </c>
    </row>
    <row r="221" spans="1:7">
      <c r="A221" t="s">
        <v>235</v>
      </c>
      <c r="B221" s="2">
        <v>46117</v>
      </c>
      <c r="C221" t="s">
        <v>8</v>
      </c>
      <c r="D221" t="s">
        <v>9</v>
      </c>
      <c r="E221" t="s">
        <v>33</v>
      </c>
      <c r="F221" s="3">
        <v>177.95</v>
      </c>
      <c r="G221" t="s">
        <v>46</v>
      </c>
    </row>
    <row r="222" spans="1:7">
      <c r="B222" s="2">
        <v>45824</v>
      </c>
      <c r="C222" t="s">
        <v>32</v>
      </c>
      <c r="D222" t="s">
        <v>9</v>
      </c>
      <c r="E222" t="s">
        <v>10</v>
      </c>
      <c r="F222" s="3">
        <v>118.78</v>
      </c>
      <c r="G222" t="s">
        <v>14</v>
      </c>
    </row>
    <row r="223" spans="1:7">
      <c r="A223" t="s">
        <v>64</v>
      </c>
      <c r="B223" s="2">
        <v>45766</v>
      </c>
      <c r="C223" t="s">
        <v>24</v>
      </c>
      <c r="D223" t="s">
        <v>9</v>
      </c>
      <c r="E223" t="s">
        <v>10</v>
      </c>
      <c r="F223" s="3">
        <v>90.1</v>
      </c>
      <c r="G223" t="s">
        <v>14</v>
      </c>
    </row>
    <row r="224" spans="1:7">
      <c r="A224" t="s">
        <v>236</v>
      </c>
      <c r="B224" s="2">
        <v>46076</v>
      </c>
      <c r="C224" t="s">
        <v>13</v>
      </c>
      <c r="D224" t="s">
        <v>9</v>
      </c>
      <c r="E224" t="s">
        <v>10</v>
      </c>
      <c r="F224" s="3">
        <v>276.32</v>
      </c>
      <c r="G224" t="s">
        <v>11</v>
      </c>
    </row>
    <row r="225" spans="1:7">
      <c r="A225" t="s">
        <v>237</v>
      </c>
      <c r="B225" s="2">
        <v>45844</v>
      </c>
      <c r="C225" t="s">
        <v>24</v>
      </c>
      <c r="D225" t="s">
        <v>9</v>
      </c>
      <c r="E225" t="s">
        <v>10</v>
      </c>
      <c r="F225" s="3">
        <v>96.11</v>
      </c>
      <c r="G225" t="s">
        <v>11</v>
      </c>
    </row>
    <row r="226" spans="1:7">
      <c r="A226" t="s">
        <v>238</v>
      </c>
      <c r="B226" s="2">
        <v>46151</v>
      </c>
      <c r="C226" t="s">
        <v>24</v>
      </c>
      <c r="D226" t="s">
        <v>9</v>
      </c>
      <c r="E226" t="s">
        <v>10</v>
      </c>
      <c r="F226" s="3">
        <v>103.54</v>
      </c>
      <c r="G226" t="s">
        <v>84</v>
      </c>
    </row>
    <row r="227" spans="1:7">
      <c r="A227" t="s">
        <v>239</v>
      </c>
      <c r="B227" s="2">
        <v>45712</v>
      </c>
      <c r="C227" t="s">
        <v>18</v>
      </c>
      <c r="D227" t="s">
        <v>9</v>
      </c>
      <c r="E227" t="s">
        <v>33</v>
      </c>
      <c r="F227" s="3">
        <v>492.68</v>
      </c>
      <c r="G227" t="s">
        <v>11</v>
      </c>
    </row>
    <row r="228" spans="1:7">
      <c r="A228" t="s">
        <v>240</v>
      </c>
      <c r="B228" s="2">
        <v>45726</v>
      </c>
      <c r="C228" t="s">
        <v>18</v>
      </c>
      <c r="D228" t="s">
        <v>9</v>
      </c>
      <c r="E228" t="s">
        <v>10</v>
      </c>
      <c r="F228" s="3">
        <v>271.20999999999998</v>
      </c>
      <c r="G228" t="s">
        <v>14</v>
      </c>
    </row>
    <row r="229" spans="1:7">
      <c r="B229" s="2">
        <v>46157</v>
      </c>
      <c r="C229" t="s">
        <v>32</v>
      </c>
      <c r="D229" t="s">
        <v>9</v>
      </c>
      <c r="E229" t="s">
        <v>10</v>
      </c>
      <c r="F229" s="3">
        <v>95.11</v>
      </c>
      <c r="G229" t="s">
        <v>14</v>
      </c>
    </row>
    <row r="230" spans="1:7">
      <c r="A230" t="s">
        <v>161</v>
      </c>
      <c r="B230" s="2">
        <v>45792</v>
      </c>
      <c r="C230" t="s">
        <v>13</v>
      </c>
      <c r="D230" t="s">
        <v>9</v>
      </c>
      <c r="E230" t="s">
        <v>10</v>
      </c>
      <c r="F230" s="3">
        <v>293.93</v>
      </c>
      <c r="G230" t="s">
        <v>14</v>
      </c>
    </row>
    <row r="231" spans="1:7">
      <c r="A231" t="s">
        <v>241</v>
      </c>
      <c r="B231" s="2">
        <v>45872</v>
      </c>
      <c r="D231" t="s">
        <v>9</v>
      </c>
      <c r="E231" t="s">
        <v>10</v>
      </c>
      <c r="F231" s="3">
        <v>106.88</v>
      </c>
      <c r="G231" t="s">
        <v>14</v>
      </c>
    </row>
    <row r="232" spans="1:7">
      <c r="A232" t="s">
        <v>242</v>
      </c>
      <c r="B232" s="2">
        <v>46122</v>
      </c>
      <c r="C232" t="s">
        <v>32</v>
      </c>
      <c r="D232" t="s">
        <v>9</v>
      </c>
      <c r="F232" s="3">
        <v>131.86000000000001</v>
      </c>
      <c r="G232" t="s">
        <v>14</v>
      </c>
    </row>
    <row r="233" spans="1:7">
      <c r="A233" t="s">
        <v>243</v>
      </c>
      <c r="B233" s="2"/>
      <c r="C233" t="s">
        <v>13</v>
      </c>
      <c r="D233" t="s">
        <v>22</v>
      </c>
      <c r="E233" t="s">
        <v>10</v>
      </c>
      <c r="F233" s="3">
        <v>225.05</v>
      </c>
      <c r="G233" t="s">
        <v>11</v>
      </c>
    </row>
    <row r="234" spans="1:7">
      <c r="A234" t="s">
        <v>25</v>
      </c>
      <c r="B234" s="2">
        <v>45963</v>
      </c>
      <c r="C234" t="s">
        <v>18</v>
      </c>
      <c r="D234" t="s">
        <v>9</v>
      </c>
      <c r="E234" t="s">
        <v>10</v>
      </c>
      <c r="F234" s="3">
        <v>251.62</v>
      </c>
      <c r="G234" t="s">
        <v>14</v>
      </c>
    </row>
    <row r="235" spans="1:7">
      <c r="A235" t="s">
        <v>244</v>
      </c>
      <c r="B235" s="2">
        <v>45977</v>
      </c>
      <c r="C235" t="s">
        <v>24</v>
      </c>
      <c r="D235" t="s">
        <v>16</v>
      </c>
      <c r="E235" t="s">
        <v>10</v>
      </c>
      <c r="F235" s="3">
        <v>83.09</v>
      </c>
      <c r="G235" t="s">
        <v>11</v>
      </c>
    </row>
    <row r="236" spans="1:7">
      <c r="A236" t="s">
        <v>245</v>
      </c>
      <c r="B236" s="2">
        <v>45948</v>
      </c>
      <c r="D236" t="s">
        <v>22</v>
      </c>
      <c r="E236" t="s">
        <v>10</v>
      </c>
      <c r="F236" s="3">
        <v>101.48</v>
      </c>
      <c r="G236" t="s">
        <v>11</v>
      </c>
    </row>
    <row r="237" spans="1:7">
      <c r="A237" t="s">
        <v>246</v>
      </c>
      <c r="B237" s="2">
        <v>45856</v>
      </c>
      <c r="C237" t="s">
        <v>8</v>
      </c>
      <c r="D237" t="s">
        <v>16</v>
      </c>
      <c r="E237" t="s">
        <v>10</v>
      </c>
      <c r="F237" s="3"/>
      <c r="G237" t="s">
        <v>14</v>
      </c>
    </row>
    <row r="238" spans="1:7">
      <c r="A238" t="s">
        <v>247</v>
      </c>
      <c r="B238" s="2">
        <v>45669</v>
      </c>
      <c r="C238" t="s">
        <v>18</v>
      </c>
      <c r="D238" t="s">
        <v>9</v>
      </c>
      <c r="E238" t="s">
        <v>10</v>
      </c>
      <c r="F238" s="3">
        <v>237.56</v>
      </c>
      <c r="G238" t="s">
        <v>14</v>
      </c>
    </row>
    <row r="239" spans="1:7">
      <c r="A239" t="s">
        <v>248</v>
      </c>
      <c r="B239" s="2">
        <v>45713</v>
      </c>
      <c r="D239" t="s">
        <v>9</v>
      </c>
      <c r="E239" t="s">
        <v>33</v>
      </c>
      <c r="F239" s="3">
        <v>189.4</v>
      </c>
      <c r="G239" t="s">
        <v>14</v>
      </c>
    </row>
    <row r="240" spans="1:7">
      <c r="A240" t="s">
        <v>249</v>
      </c>
      <c r="B240" s="2">
        <v>46195</v>
      </c>
      <c r="C240" t="s">
        <v>13</v>
      </c>
      <c r="D240" t="s">
        <v>9</v>
      </c>
      <c r="E240" t="s">
        <v>10</v>
      </c>
      <c r="F240" s="3">
        <v>214.48</v>
      </c>
      <c r="G240" t="s">
        <v>14</v>
      </c>
    </row>
    <row r="241" spans="1:7">
      <c r="A241" t="s">
        <v>250</v>
      </c>
      <c r="B241" s="2">
        <v>45825</v>
      </c>
      <c r="C241" t="s">
        <v>18</v>
      </c>
      <c r="D241" t="s">
        <v>9</v>
      </c>
      <c r="E241" t="s">
        <v>10</v>
      </c>
      <c r="F241" s="3">
        <v>202.96</v>
      </c>
      <c r="G241" t="s">
        <v>14</v>
      </c>
    </row>
    <row r="242" spans="1:7">
      <c r="A242" t="s">
        <v>251</v>
      </c>
      <c r="B242" s="2">
        <v>46138</v>
      </c>
      <c r="C242" t="s">
        <v>32</v>
      </c>
      <c r="D242" t="s">
        <v>9</v>
      </c>
      <c r="E242" t="s">
        <v>10</v>
      </c>
      <c r="F242" s="3">
        <v>131.63</v>
      </c>
      <c r="G242" t="s">
        <v>11</v>
      </c>
    </row>
    <row r="243" spans="1:7">
      <c r="A243" t="s">
        <v>252</v>
      </c>
      <c r="B243" s="2">
        <v>45692</v>
      </c>
      <c r="C243" t="s">
        <v>18</v>
      </c>
      <c r="D243" t="s">
        <v>16</v>
      </c>
      <c r="E243" t="s">
        <v>10</v>
      </c>
      <c r="F243" s="3">
        <v>243.52</v>
      </c>
      <c r="G243" t="s">
        <v>14</v>
      </c>
    </row>
    <row r="244" spans="1:7">
      <c r="A244" t="s">
        <v>253</v>
      </c>
      <c r="B244" s="2">
        <v>45743</v>
      </c>
      <c r="C244" t="s">
        <v>18</v>
      </c>
      <c r="D244" t="s">
        <v>9</v>
      </c>
      <c r="E244" t="s">
        <v>10</v>
      </c>
      <c r="F244" s="3">
        <v>210.9</v>
      </c>
      <c r="G244" t="s">
        <v>11</v>
      </c>
    </row>
    <row r="245" spans="1:7">
      <c r="A245" t="s">
        <v>121</v>
      </c>
      <c r="B245" s="2">
        <v>45704</v>
      </c>
      <c r="C245" t="s">
        <v>13</v>
      </c>
      <c r="D245" t="s">
        <v>9</v>
      </c>
      <c r="E245" t="s">
        <v>10</v>
      </c>
      <c r="F245" s="3">
        <v>262.62</v>
      </c>
      <c r="G245" t="s">
        <v>14</v>
      </c>
    </row>
    <row r="246" spans="1:7">
      <c r="A246" t="s">
        <v>254</v>
      </c>
      <c r="B246" s="2">
        <v>46024</v>
      </c>
      <c r="C246" t="s">
        <v>13</v>
      </c>
      <c r="D246" t="s">
        <v>9</v>
      </c>
      <c r="E246" t="s">
        <v>10</v>
      </c>
      <c r="F246" s="3">
        <v>208.22</v>
      </c>
      <c r="G246" t="s">
        <v>14</v>
      </c>
    </row>
    <row r="247" spans="1:7">
      <c r="A247" t="s">
        <v>255</v>
      </c>
      <c r="B247" s="2">
        <v>45919</v>
      </c>
      <c r="C247" t="s">
        <v>8</v>
      </c>
      <c r="D247" t="s">
        <v>9</v>
      </c>
      <c r="E247" t="s">
        <v>10</v>
      </c>
      <c r="F247" s="3">
        <v>116.57</v>
      </c>
    </row>
    <row r="248" spans="1:7">
      <c r="A248" t="s">
        <v>256</v>
      </c>
      <c r="B248" s="2">
        <v>46043</v>
      </c>
      <c r="C248" t="s">
        <v>13</v>
      </c>
      <c r="D248" t="s">
        <v>16</v>
      </c>
      <c r="E248" t="s">
        <v>10</v>
      </c>
      <c r="F248" s="3">
        <v>234.74</v>
      </c>
      <c r="G248" t="s">
        <v>11</v>
      </c>
    </row>
    <row r="249" spans="1:7">
      <c r="A249" t="s">
        <v>257</v>
      </c>
      <c r="B249" s="2">
        <v>45891</v>
      </c>
      <c r="C249" t="s">
        <v>32</v>
      </c>
      <c r="D249" t="s">
        <v>9</v>
      </c>
      <c r="E249" t="s">
        <v>10</v>
      </c>
      <c r="F249" s="3">
        <v>132.96</v>
      </c>
      <c r="G249" t="s">
        <v>46</v>
      </c>
    </row>
    <row r="250" spans="1:7">
      <c r="A250" t="s">
        <v>258</v>
      </c>
      <c r="B250" s="2">
        <v>45697</v>
      </c>
      <c r="C250" t="s">
        <v>24</v>
      </c>
      <c r="D250" t="s">
        <v>9</v>
      </c>
      <c r="E250" t="s">
        <v>10</v>
      </c>
      <c r="F250" s="3">
        <v>107.13</v>
      </c>
      <c r="G250" t="s">
        <v>11</v>
      </c>
    </row>
    <row r="251" spans="1:7">
      <c r="A251" t="s">
        <v>259</v>
      </c>
      <c r="B251" s="2">
        <v>46190</v>
      </c>
      <c r="C251" t="s">
        <v>32</v>
      </c>
      <c r="D251" t="s">
        <v>9</v>
      </c>
      <c r="E251" t="s">
        <v>10</v>
      </c>
      <c r="F251" s="3">
        <v>118.49</v>
      </c>
      <c r="G251" t="s">
        <v>14</v>
      </c>
    </row>
    <row r="252" spans="1:7">
      <c r="A252" t="s">
        <v>260</v>
      </c>
      <c r="B252" s="2">
        <v>46208</v>
      </c>
      <c r="C252" t="s">
        <v>24</v>
      </c>
      <c r="D252" t="s">
        <v>9</v>
      </c>
      <c r="E252" t="s">
        <v>10</v>
      </c>
      <c r="F252" s="3">
        <v>83.46</v>
      </c>
      <c r="G252" t="s">
        <v>14</v>
      </c>
    </row>
    <row r="253" spans="1:7">
      <c r="A253" t="s">
        <v>261</v>
      </c>
      <c r="B253" s="2">
        <v>46160</v>
      </c>
      <c r="C253" t="s">
        <v>13</v>
      </c>
      <c r="D253" t="s">
        <v>16</v>
      </c>
      <c r="E253" t="s">
        <v>10</v>
      </c>
      <c r="F253" s="3">
        <v>287.48</v>
      </c>
      <c r="G253" t="s">
        <v>11</v>
      </c>
    </row>
    <row r="254" spans="1:7">
      <c r="A254" t="s">
        <v>262</v>
      </c>
      <c r="B254" s="2">
        <v>45935</v>
      </c>
      <c r="C254" t="s">
        <v>8</v>
      </c>
      <c r="D254" t="s">
        <v>9</v>
      </c>
      <c r="E254" t="s">
        <v>33</v>
      </c>
      <c r="F254" s="3">
        <v>203.29</v>
      </c>
      <c r="G254" t="s">
        <v>14</v>
      </c>
    </row>
    <row r="255" spans="1:7">
      <c r="A255" t="s">
        <v>263</v>
      </c>
      <c r="B255" s="2">
        <v>46080</v>
      </c>
      <c r="C255" t="s">
        <v>8</v>
      </c>
      <c r="D255" t="s">
        <v>9</v>
      </c>
      <c r="E255" t="s">
        <v>10</v>
      </c>
      <c r="F255" s="3">
        <v>96.93</v>
      </c>
      <c r="G255" t="s">
        <v>46</v>
      </c>
    </row>
    <row r="256" spans="1:7">
      <c r="A256" t="s">
        <v>264</v>
      </c>
      <c r="B256" s="2">
        <v>45919</v>
      </c>
      <c r="C256" t="s">
        <v>13</v>
      </c>
      <c r="D256" t="s">
        <v>9</v>
      </c>
      <c r="E256" t="s">
        <v>10</v>
      </c>
      <c r="F256" s="3">
        <v>294.14999999999998</v>
      </c>
      <c r="G256" t="s">
        <v>11</v>
      </c>
    </row>
    <row r="257" spans="1:7">
      <c r="A257" t="s">
        <v>265</v>
      </c>
      <c r="B257" s="2">
        <v>45990</v>
      </c>
      <c r="C257" t="s">
        <v>32</v>
      </c>
      <c r="D257" t="s">
        <v>22</v>
      </c>
      <c r="E257" t="s">
        <v>10</v>
      </c>
      <c r="F257" s="3">
        <v>125.85</v>
      </c>
      <c r="G257" t="s">
        <v>11</v>
      </c>
    </row>
    <row r="258" spans="1:7">
      <c r="A258" t="s">
        <v>266</v>
      </c>
      <c r="B258" s="2">
        <v>46081</v>
      </c>
      <c r="D258" t="s">
        <v>9</v>
      </c>
      <c r="E258" t="s">
        <v>10</v>
      </c>
      <c r="F258" s="3">
        <v>107.62</v>
      </c>
      <c r="G258" t="s">
        <v>14</v>
      </c>
    </row>
    <row r="259" spans="1:7">
      <c r="A259" t="s">
        <v>267</v>
      </c>
      <c r="B259" s="2">
        <v>45681</v>
      </c>
      <c r="C259" t="s">
        <v>32</v>
      </c>
      <c r="D259" t="s">
        <v>9</v>
      </c>
      <c r="E259" t="s">
        <v>10</v>
      </c>
      <c r="F259" s="3">
        <v>97.63</v>
      </c>
      <c r="G259" t="s">
        <v>11</v>
      </c>
    </row>
    <row r="260" spans="1:7">
      <c r="A260" t="s">
        <v>268</v>
      </c>
      <c r="B260" s="2">
        <v>45792</v>
      </c>
      <c r="C260" t="s">
        <v>8</v>
      </c>
      <c r="D260" t="s">
        <v>9</v>
      </c>
      <c r="E260" t="s">
        <v>33</v>
      </c>
      <c r="F260" s="3">
        <v>185.23</v>
      </c>
      <c r="G260" t="s">
        <v>11</v>
      </c>
    </row>
    <row r="261" spans="1:7">
      <c r="A261" t="s">
        <v>269</v>
      </c>
      <c r="B261" s="2">
        <v>46029</v>
      </c>
      <c r="C261" t="s">
        <v>8</v>
      </c>
      <c r="D261" t="s">
        <v>9</v>
      </c>
      <c r="E261" t="s">
        <v>10</v>
      </c>
      <c r="F261" s="3"/>
      <c r="G261" t="s">
        <v>14</v>
      </c>
    </row>
    <row r="262" spans="1:7">
      <c r="A262" t="s">
        <v>270</v>
      </c>
      <c r="B262" s="2">
        <v>45808</v>
      </c>
      <c r="C262" t="s">
        <v>32</v>
      </c>
      <c r="D262" t="s">
        <v>9</v>
      </c>
      <c r="E262" t="s">
        <v>33</v>
      </c>
      <c r="F262" s="3">
        <v>219.89</v>
      </c>
    </row>
    <row r="263" spans="1:7">
      <c r="A263" t="s">
        <v>271</v>
      </c>
      <c r="B263" s="2">
        <v>46195</v>
      </c>
      <c r="C263" t="s">
        <v>18</v>
      </c>
      <c r="D263" t="s">
        <v>9</v>
      </c>
      <c r="E263" t="s">
        <v>10</v>
      </c>
      <c r="F263" s="3">
        <v>196.83</v>
      </c>
    </row>
    <row r="264" spans="1:7">
      <c r="A264" t="s">
        <v>272</v>
      </c>
      <c r="B264" s="2"/>
      <c r="C264" t="s">
        <v>18</v>
      </c>
      <c r="D264" t="s">
        <v>9</v>
      </c>
      <c r="E264" t="s">
        <v>10</v>
      </c>
      <c r="F264" s="3">
        <v>266.04000000000002</v>
      </c>
      <c r="G264" t="s">
        <v>14</v>
      </c>
    </row>
    <row r="265" spans="1:7">
      <c r="A265" t="s">
        <v>273</v>
      </c>
      <c r="B265" s="2">
        <v>45778</v>
      </c>
      <c r="C265" t="s">
        <v>18</v>
      </c>
      <c r="D265" t="s">
        <v>9</v>
      </c>
      <c r="E265" t="s">
        <v>10</v>
      </c>
      <c r="F265" s="3">
        <v>261.56</v>
      </c>
      <c r="G265" t="s">
        <v>14</v>
      </c>
    </row>
    <row r="266" spans="1:7">
      <c r="A266" t="s">
        <v>274</v>
      </c>
      <c r="B266" s="2">
        <v>45983</v>
      </c>
      <c r="C266" t="s">
        <v>24</v>
      </c>
      <c r="D266" t="s">
        <v>9</v>
      </c>
      <c r="F266" s="3">
        <v>169.56</v>
      </c>
      <c r="G266" t="s">
        <v>11</v>
      </c>
    </row>
    <row r="267" spans="1:7">
      <c r="A267" t="s">
        <v>275</v>
      </c>
      <c r="B267" s="2">
        <v>46226</v>
      </c>
      <c r="C267" t="s">
        <v>13</v>
      </c>
      <c r="D267" t="s">
        <v>9</v>
      </c>
      <c r="F267" s="3">
        <v>205.7</v>
      </c>
      <c r="G267" t="s">
        <v>46</v>
      </c>
    </row>
    <row r="268" spans="1:7">
      <c r="B268" s="2">
        <v>46192</v>
      </c>
      <c r="C268" t="s">
        <v>24</v>
      </c>
      <c r="D268" t="s">
        <v>9</v>
      </c>
      <c r="E268" t="s">
        <v>10</v>
      </c>
      <c r="F268" s="3">
        <v>111.96</v>
      </c>
      <c r="G268" t="s">
        <v>14</v>
      </c>
    </row>
    <row r="269" spans="1:7">
      <c r="A269" t="s">
        <v>276</v>
      </c>
      <c r="B269" s="2">
        <v>45846</v>
      </c>
      <c r="C269" t="s">
        <v>13</v>
      </c>
      <c r="D269" t="s">
        <v>9</v>
      </c>
      <c r="E269" t="s">
        <v>10</v>
      </c>
      <c r="F269" s="3">
        <v>291.02</v>
      </c>
      <c r="G269" t="s">
        <v>46</v>
      </c>
    </row>
    <row r="270" spans="1:7">
      <c r="A270" t="s">
        <v>277</v>
      </c>
      <c r="B270" s="2">
        <v>45770</v>
      </c>
      <c r="C270" t="s">
        <v>18</v>
      </c>
      <c r="D270" t="s">
        <v>9</v>
      </c>
      <c r="E270" t="s">
        <v>10</v>
      </c>
      <c r="F270" s="3">
        <v>255.24</v>
      </c>
      <c r="G270" t="s">
        <v>14</v>
      </c>
    </row>
    <row r="271" spans="1:7">
      <c r="A271" t="s">
        <v>278</v>
      </c>
      <c r="B271" s="2">
        <v>45872</v>
      </c>
      <c r="C271" t="s">
        <v>24</v>
      </c>
      <c r="D271" t="s">
        <v>9</v>
      </c>
      <c r="E271" t="s">
        <v>10</v>
      </c>
      <c r="F271" s="3">
        <v>1018</v>
      </c>
      <c r="G271" t="s">
        <v>11</v>
      </c>
    </row>
    <row r="272" spans="1:7">
      <c r="A272" t="s">
        <v>279</v>
      </c>
      <c r="B272" s="2">
        <v>45759</v>
      </c>
      <c r="C272" t="s">
        <v>13</v>
      </c>
      <c r="D272" t="s">
        <v>9</v>
      </c>
      <c r="E272" t="s">
        <v>10</v>
      </c>
      <c r="F272" s="3">
        <v>291.08</v>
      </c>
      <c r="G272" t="s">
        <v>14</v>
      </c>
    </row>
    <row r="273" spans="1:7">
      <c r="A273" t="s">
        <v>280</v>
      </c>
      <c r="B273" s="2">
        <v>45683</v>
      </c>
      <c r="C273" t="s">
        <v>18</v>
      </c>
      <c r="D273" t="s">
        <v>16</v>
      </c>
      <c r="E273" t="s">
        <v>10</v>
      </c>
      <c r="F273" s="3">
        <v>250.23</v>
      </c>
      <c r="G273" t="s">
        <v>14</v>
      </c>
    </row>
    <row r="274" spans="1:7">
      <c r="A274" t="s">
        <v>281</v>
      </c>
      <c r="B274" s="2"/>
      <c r="C274" t="s">
        <v>32</v>
      </c>
      <c r="D274" t="s">
        <v>9</v>
      </c>
      <c r="E274" t="s">
        <v>10</v>
      </c>
      <c r="F274" s="3">
        <v>107.72</v>
      </c>
      <c r="G274" t="s">
        <v>46</v>
      </c>
    </row>
    <row r="275" spans="1:7">
      <c r="A275" t="s">
        <v>282</v>
      </c>
      <c r="B275" s="2">
        <v>45891</v>
      </c>
      <c r="C275" t="s">
        <v>32</v>
      </c>
      <c r="D275" t="s">
        <v>9</v>
      </c>
      <c r="E275" t="s">
        <v>10</v>
      </c>
      <c r="F275" s="3">
        <v>129.03</v>
      </c>
      <c r="G275" t="s">
        <v>11</v>
      </c>
    </row>
    <row r="276" spans="1:7">
      <c r="A276" t="s">
        <v>283</v>
      </c>
      <c r="B276" s="2">
        <v>45874</v>
      </c>
      <c r="C276" t="s">
        <v>18</v>
      </c>
      <c r="D276" t="s">
        <v>9</v>
      </c>
      <c r="E276" t="s">
        <v>10</v>
      </c>
      <c r="F276" s="3">
        <v>262.08999999999997</v>
      </c>
      <c r="G276" t="s">
        <v>11</v>
      </c>
    </row>
    <row r="277" spans="1:7">
      <c r="B277" s="2">
        <v>45796</v>
      </c>
      <c r="C277" t="s">
        <v>24</v>
      </c>
      <c r="D277" t="s">
        <v>9</v>
      </c>
      <c r="E277" t="s">
        <v>10</v>
      </c>
      <c r="F277" s="3">
        <v>87.98</v>
      </c>
      <c r="G277" t="s">
        <v>14</v>
      </c>
    </row>
    <row r="278" spans="1:7">
      <c r="A278" t="s">
        <v>284</v>
      </c>
      <c r="B278" s="2">
        <v>46172</v>
      </c>
      <c r="C278" t="s">
        <v>18</v>
      </c>
      <c r="D278" t="s">
        <v>16</v>
      </c>
      <c r="E278" t="s">
        <v>10</v>
      </c>
      <c r="F278" s="3">
        <v>227.4</v>
      </c>
      <c r="G278" t="s">
        <v>11</v>
      </c>
    </row>
    <row r="279" spans="1:7">
      <c r="A279" t="s">
        <v>285</v>
      </c>
      <c r="B279" s="2">
        <v>46046</v>
      </c>
      <c r="C279" t="s">
        <v>13</v>
      </c>
      <c r="D279" t="s">
        <v>9</v>
      </c>
      <c r="E279" t="s">
        <v>10</v>
      </c>
      <c r="F279" s="3">
        <v>232.11</v>
      </c>
      <c r="G279" t="s">
        <v>11</v>
      </c>
    </row>
    <row r="280" spans="1:7">
      <c r="A280" t="s">
        <v>286</v>
      </c>
      <c r="B280" s="2">
        <v>45985</v>
      </c>
      <c r="C280" t="s">
        <v>13</v>
      </c>
      <c r="D280" t="s">
        <v>9</v>
      </c>
      <c r="E280" t="s">
        <v>10</v>
      </c>
      <c r="F280" s="3">
        <v>220.99</v>
      </c>
      <c r="G280" t="s">
        <v>11</v>
      </c>
    </row>
    <row r="281" spans="1:7">
      <c r="A281" t="s">
        <v>287</v>
      </c>
      <c r="B281" s="2">
        <v>45923</v>
      </c>
      <c r="C281" t="s">
        <v>32</v>
      </c>
      <c r="D281" t="s">
        <v>9</v>
      </c>
      <c r="E281" t="s">
        <v>10</v>
      </c>
      <c r="F281" s="3">
        <v>108.69</v>
      </c>
      <c r="G281" t="s">
        <v>11</v>
      </c>
    </row>
    <row r="282" spans="1:7">
      <c r="A282" t="s">
        <v>288</v>
      </c>
      <c r="B282" s="2">
        <v>45934</v>
      </c>
      <c r="C282" t="s">
        <v>18</v>
      </c>
      <c r="D282" t="s">
        <v>9</v>
      </c>
      <c r="E282" t="s">
        <v>10</v>
      </c>
      <c r="F282" s="3">
        <v>218</v>
      </c>
      <c r="G282" t="s">
        <v>14</v>
      </c>
    </row>
    <row r="283" spans="1:7">
      <c r="A283" t="s">
        <v>289</v>
      </c>
      <c r="B283" s="2">
        <v>45777</v>
      </c>
      <c r="C283" t="s">
        <v>18</v>
      </c>
      <c r="D283" t="s">
        <v>22</v>
      </c>
      <c r="E283" t="s">
        <v>10</v>
      </c>
      <c r="F283" s="3">
        <v>191.9</v>
      </c>
      <c r="G283" t="s">
        <v>11</v>
      </c>
    </row>
    <row r="284" spans="1:7">
      <c r="B284" s="2">
        <v>45794</v>
      </c>
      <c r="C284" t="s">
        <v>8</v>
      </c>
      <c r="D284" t="s">
        <v>9</v>
      </c>
      <c r="E284" t="s">
        <v>10</v>
      </c>
      <c r="F284" s="3">
        <v>81.08</v>
      </c>
      <c r="G284" t="s">
        <v>14</v>
      </c>
    </row>
    <row r="285" spans="1:7">
      <c r="A285" t="s">
        <v>290</v>
      </c>
      <c r="B285" s="2">
        <v>45953</v>
      </c>
      <c r="C285" t="s">
        <v>24</v>
      </c>
      <c r="D285" t="s">
        <v>9</v>
      </c>
      <c r="E285" t="s">
        <v>10</v>
      </c>
      <c r="F285" s="3">
        <v>103.92</v>
      </c>
      <c r="G285" t="s">
        <v>14</v>
      </c>
    </row>
    <row r="286" spans="1:7">
      <c r="A286" t="s">
        <v>291</v>
      </c>
      <c r="B286" s="2">
        <v>46033</v>
      </c>
      <c r="C286" t="s">
        <v>18</v>
      </c>
      <c r="D286" t="s">
        <v>16</v>
      </c>
      <c r="E286" t="s">
        <v>10</v>
      </c>
      <c r="F286" s="3">
        <v>204.43</v>
      </c>
      <c r="G286" t="s">
        <v>46</v>
      </c>
    </row>
    <row r="287" spans="1:7">
      <c r="A287" t="s">
        <v>292</v>
      </c>
      <c r="B287" s="2">
        <v>46177</v>
      </c>
      <c r="C287" t="s">
        <v>8</v>
      </c>
      <c r="D287" t="s">
        <v>9</v>
      </c>
      <c r="E287" t="s">
        <v>10</v>
      </c>
      <c r="F287" s="3">
        <v>106.06</v>
      </c>
      <c r="G287" t="s">
        <v>11</v>
      </c>
    </row>
    <row r="288" spans="1:7">
      <c r="A288" t="s">
        <v>293</v>
      </c>
      <c r="B288" s="2">
        <v>46042</v>
      </c>
      <c r="C288" t="s">
        <v>24</v>
      </c>
      <c r="D288" t="s">
        <v>9</v>
      </c>
      <c r="E288" t="s">
        <v>10</v>
      </c>
      <c r="F288" s="3">
        <v>78.78</v>
      </c>
      <c r="G288" t="s">
        <v>14</v>
      </c>
    </row>
    <row r="289" spans="1:7">
      <c r="A289" t="s">
        <v>294</v>
      </c>
      <c r="B289" s="2">
        <v>45716</v>
      </c>
      <c r="C289" t="s">
        <v>18</v>
      </c>
      <c r="D289" t="s">
        <v>9</v>
      </c>
      <c r="E289" t="s">
        <v>10</v>
      </c>
      <c r="F289" s="3">
        <v>260.14</v>
      </c>
      <c r="G289" t="s">
        <v>11</v>
      </c>
    </row>
    <row r="290" spans="1:7">
      <c r="A290" t="s">
        <v>295</v>
      </c>
      <c r="B290" s="2">
        <v>45982</v>
      </c>
      <c r="C290" t="s">
        <v>24</v>
      </c>
      <c r="D290" t="s">
        <v>9</v>
      </c>
      <c r="E290" t="s">
        <v>10</v>
      </c>
      <c r="F290" s="3">
        <v>96.72</v>
      </c>
      <c r="G290" t="s">
        <v>27</v>
      </c>
    </row>
    <row r="291" spans="1:7">
      <c r="A291" t="s">
        <v>296</v>
      </c>
      <c r="B291" s="2">
        <v>46151</v>
      </c>
      <c r="C291" t="s">
        <v>32</v>
      </c>
      <c r="D291" t="s">
        <v>22</v>
      </c>
      <c r="E291" t="s">
        <v>10</v>
      </c>
      <c r="F291" s="3">
        <v>100.83</v>
      </c>
      <c r="G291" t="s">
        <v>14</v>
      </c>
    </row>
    <row r="292" spans="1:7">
      <c r="A292" t="s">
        <v>297</v>
      </c>
      <c r="B292" s="2"/>
      <c r="C292" t="s">
        <v>18</v>
      </c>
      <c r="D292" t="s">
        <v>16</v>
      </c>
      <c r="E292" t="s">
        <v>10</v>
      </c>
      <c r="F292" s="3">
        <v>243.14</v>
      </c>
      <c r="G292" t="s">
        <v>14</v>
      </c>
    </row>
    <row r="293" spans="1:7">
      <c r="A293" t="s">
        <v>298</v>
      </c>
      <c r="B293" s="2">
        <v>45791</v>
      </c>
      <c r="C293" t="s">
        <v>18</v>
      </c>
      <c r="D293" t="s">
        <v>9</v>
      </c>
      <c r="E293" t="s">
        <v>33</v>
      </c>
      <c r="F293" s="3">
        <v>438.62</v>
      </c>
      <c r="G293" t="s">
        <v>14</v>
      </c>
    </row>
    <row r="294" spans="1:7">
      <c r="A294" t="s">
        <v>109</v>
      </c>
      <c r="B294" s="2">
        <v>45780</v>
      </c>
      <c r="C294" t="s">
        <v>18</v>
      </c>
      <c r="D294" t="s">
        <v>22</v>
      </c>
      <c r="E294" t="s">
        <v>10</v>
      </c>
      <c r="F294" s="3">
        <v>192.68</v>
      </c>
      <c r="G294" t="s">
        <v>14</v>
      </c>
    </row>
    <row r="295" spans="1:7">
      <c r="A295" t="s">
        <v>299</v>
      </c>
      <c r="B295" s="2">
        <v>45759</v>
      </c>
      <c r="C295" t="s">
        <v>18</v>
      </c>
      <c r="D295" t="s">
        <v>9</v>
      </c>
      <c r="E295" t="s">
        <v>10</v>
      </c>
      <c r="F295" s="3"/>
      <c r="G295" t="s">
        <v>14</v>
      </c>
    </row>
    <row r="296" spans="1:7">
      <c r="A296" t="s">
        <v>300</v>
      </c>
      <c r="B296" s="2"/>
      <c r="C296" t="s">
        <v>24</v>
      </c>
      <c r="D296" t="s">
        <v>9</v>
      </c>
      <c r="E296" t="s">
        <v>10</v>
      </c>
      <c r="F296" s="3">
        <v>81.53</v>
      </c>
    </row>
    <row r="297" spans="1:7">
      <c r="A297" t="s">
        <v>301</v>
      </c>
      <c r="B297" s="2">
        <v>45947</v>
      </c>
      <c r="C297" t="s">
        <v>18</v>
      </c>
      <c r="D297" t="s">
        <v>9</v>
      </c>
      <c r="E297" t="s">
        <v>33</v>
      </c>
      <c r="F297" s="3">
        <v>419.29</v>
      </c>
      <c r="G297" t="s">
        <v>11</v>
      </c>
    </row>
    <row r="298" spans="1:7">
      <c r="A298" t="s">
        <v>302</v>
      </c>
      <c r="B298" s="2" t="s">
        <v>61</v>
      </c>
      <c r="C298" t="s">
        <v>13</v>
      </c>
      <c r="D298" t="s">
        <v>22</v>
      </c>
      <c r="E298" t="s">
        <v>10</v>
      </c>
      <c r="F298" s="3">
        <v>244.48</v>
      </c>
      <c r="G298" t="s">
        <v>11</v>
      </c>
    </row>
    <row r="299" spans="1:7">
      <c r="A299" t="s">
        <v>303</v>
      </c>
      <c r="B299" s="2">
        <v>45906</v>
      </c>
      <c r="C299" t="s">
        <v>13</v>
      </c>
      <c r="D299" t="s">
        <v>22</v>
      </c>
      <c r="E299" t="s">
        <v>10</v>
      </c>
      <c r="F299" s="3">
        <v>228.74</v>
      </c>
      <c r="G299" t="s">
        <v>11</v>
      </c>
    </row>
    <row r="300" spans="1:7">
      <c r="A300" t="s">
        <v>304</v>
      </c>
      <c r="B300" s="2">
        <v>45792</v>
      </c>
      <c r="C300" t="s">
        <v>32</v>
      </c>
      <c r="D300" t="s">
        <v>9</v>
      </c>
      <c r="F300" s="3">
        <v>115.45</v>
      </c>
      <c r="G300" t="s">
        <v>46</v>
      </c>
    </row>
    <row r="301" spans="1:7">
      <c r="A301" t="s">
        <v>305</v>
      </c>
      <c r="B301" s="2">
        <v>46028</v>
      </c>
      <c r="C301" t="s">
        <v>32</v>
      </c>
      <c r="D301" t="s">
        <v>9</v>
      </c>
      <c r="E301" t="s">
        <v>10</v>
      </c>
      <c r="F301" s="3">
        <v>112.24</v>
      </c>
      <c r="G301" t="s">
        <v>14</v>
      </c>
    </row>
  </sheetData>
  <autoFilter ref="A1:G3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3"/>
  <sheetViews>
    <sheetView topLeftCell="D223" workbookViewId="0">
      <selection activeCell="H232" sqref="H232"/>
    </sheetView>
  </sheetViews>
  <sheetFormatPr defaultRowHeight="14.5"/>
  <cols>
    <col min="1" max="1" width="20.26953125" customWidth="1"/>
    <col min="2" max="2" width="32.36328125" style="5" customWidth="1"/>
    <col min="3" max="3" width="29.453125" customWidth="1"/>
    <col min="4" max="4" width="35.08984375" customWidth="1"/>
    <col min="5" max="5" width="34.26953125" customWidth="1"/>
    <col min="6" max="6" width="37.26953125" style="7" customWidth="1"/>
    <col min="7" max="7" width="24.08984375" customWidth="1"/>
    <col min="8" max="8" width="22.26953125" customWidth="1"/>
    <col min="9" max="9" width="20.6328125" customWidth="1"/>
    <col min="10" max="10" width="22.7265625" customWidth="1"/>
    <col min="11" max="11" width="20.08984375" customWidth="1"/>
    <col min="12" max="12" width="22.54296875" customWidth="1"/>
  </cols>
  <sheetData>
    <row r="1" spans="1:12" ht="15.5">
      <c r="A1" s="1" t="s">
        <v>0</v>
      </c>
      <c r="B1" s="4" t="s">
        <v>1</v>
      </c>
      <c r="C1" s="1" t="s">
        <v>2</v>
      </c>
      <c r="D1" s="1" t="s">
        <v>3</v>
      </c>
      <c r="E1" s="1" t="s">
        <v>4</v>
      </c>
      <c r="F1" s="6" t="s">
        <v>5</v>
      </c>
      <c r="G1" s="1" t="s">
        <v>6</v>
      </c>
      <c r="H1" s="8" t="s">
        <v>306</v>
      </c>
      <c r="I1" s="9" t="s">
        <v>307</v>
      </c>
      <c r="J1" s="8" t="s">
        <v>308</v>
      </c>
      <c r="K1" s="8" t="s">
        <v>309</v>
      </c>
      <c r="L1" s="8" t="s">
        <v>310</v>
      </c>
    </row>
    <row r="2" spans="1:12">
      <c r="A2" t="s">
        <v>68</v>
      </c>
      <c r="B2" s="5">
        <v>45783</v>
      </c>
      <c r="C2" t="s">
        <v>8</v>
      </c>
      <c r="D2" t="s">
        <v>9</v>
      </c>
      <c r="E2" t="s">
        <v>10</v>
      </c>
      <c r="F2" s="7">
        <v>116.16</v>
      </c>
      <c r="G2" t="s">
        <v>14</v>
      </c>
      <c r="H2" t="str">
        <f t="shared" ref="H2:H65" si="0">PROPER(D2)</f>
        <v>Adult</v>
      </c>
      <c r="I2" t="str">
        <f t="shared" ref="I2:I65" si="1">PROPER(E2)</f>
        <v>Economy</v>
      </c>
      <c r="J2" t="str">
        <f t="shared" ref="J2:J65" si="2">PROPER(G2)</f>
        <v>Completed</v>
      </c>
      <c r="K2" s="10" t="str">
        <f t="shared" ref="K2" si="3">UPPER(C2:C293)</f>
        <v>MGQ-HGA</v>
      </c>
      <c r="L2" s="10" t="str">
        <f t="shared" ref="L2" si="4">TRIM(A2:A293)</f>
        <v>ABK00001</v>
      </c>
    </row>
    <row r="3" spans="1:12">
      <c r="A3" t="s">
        <v>148</v>
      </c>
      <c r="B3" s="5">
        <v>45661</v>
      </c>
      <c r="C3" t="s">
        <v>18</v>
      </c>
      <c r="D3" t="s">
        <v>9</v>
      </c>
      <c r="E3" t="s">
        <v>10</v>
      </c>
      <c r="F3" s="7">
        <v>263.77</v>
      </c>
      <c r="G3" t="s">
        <v>14</v>
      </c>
      <c r="H3" t="str">
        <f t="shared" si="0"/>
        <v>Adult</v>
      </c>
      <c r="I3" t="str">
        <f t="shared" si="1"/>
        <v>Economy</v>
      </c>
      <c r="J3" t="str">
        <f t="shared" si="2"/>
        <v>Completed</v>
      </c>
      <c r="K3" s="10" t="str">
        <f t="shared" ref="K3:K66" si="5">UPPER(C3:C293)</f>
        <v>MGQ-NBO</v>
      </c>
      <c r="L3" s="10" t="str">
        <f t="shared" ref="L3:L66" si="6">TRIM(A3:A293)</f>
        <v>ABK00002</v>
      </c>
    </row>
    <row r="4" spans="1:12">
      <c r="A4" t="s">
        <v>98</v>
      </c>
      <c r="B4" s="5">
        <v>45892</v>
      </c>
      <c r="C4" t="s">
        <v>13</v>
      </c>
      <c r="D4" t="s">
        <v>9</v>
      </c>
      <c r="E4" t="s">
        <v>84</v>
      </c>
      <c r="F4" s="7">
        <v>274.58</v>
      </c>
      <c r="G4" t="s">
        <v>11</v>
      </c>
      <c r="H4" t="str">
        <f t="shared" si="0"/>
        <v>Adult</v>
      </c>
      <c r="I4" t="str">
        <f t="shared" si="1"/>
        <v>Unknown</v>
      </c>
      <c r="J4" t="str">
        <f t="shared" si="2"/>
        <v>Confirmed</v>
      </c>
      <c r="K4" s="10" t="str">
        <f t="shared" si="5"/>
        <v>MGQ-ADD</v>
      </c>
      <c r="L4" s="10" t="str">
        <f t="shared" si="6"/>
        <v>ABK00003</v>
      </c>
    </row>
    <row r="5" spans="1:12">
      <c r="A5" t="s">
        <v>127</v>
      </c>
      <c r="B5" s="5">
        <v>45962</v>
      </c>
      <c r="C5" t="s">
        <v>13</v>
      </c>
      <c r="D5" t="s">
        <v>16</v>
      </c>
      <c r="E5" t="s">
        <v>33</v>
      </c>
      <c r="F5" s="7">
        <v>400.49</v>
      </c>
      <c r="G5" t="s">
        <v>11</v>
      </c>
      <c r="H5" t="str">
        <f t="shared" si="0"/>
        <v>Child</v>
      </c>
      <c r="I5" t="str">
        <f t="shared" si="1"/>
        <v>Business</v>
      </c>
      <c r="J5" t="str">
        <f t="shared" si="2"/>
        <v>Confirmed</v>
      </c>
      <c r="K5" s="10" t="str">
        <f t="shared" si="5"/>
        <v>MGQ-ADD</v>
      </c>
      <c r="L5" s="10" t="str">
        <f t="shared" si="6"/>
        <v>ABK00004</v>
      </c>
    </row>
    <row r="6" spans="1:12">
      <c r="A6" t="s">
        <v>49</v>
      </c>
      <c r="B6" s="5">
        <v>46188</v>
      </c>
      <c r="C6" t="s">
        <v>32</v>
      </c>
      <c r="D6" t="s">
        <v>9</v>
      </c>
      <c r="E6" t="s">
        <v>10</v>
      </c>
      <c r="F6" s="7">
        <v>127.7</v>
      </c>
      <c r="G6" t="s">
        <v>84</v>
      </c>
      <c r="H6" t="str">
        <f t="shared" si="0"/>
        <v>Adult</v>
      </c>
      <c r="I6" t="str">
        <f t="shared" si="1"/>
        <v>Economy</v>
      </c>
      <c r="J6" t="str">
        <f t="shared" si="2"/>
        <v>Unknown</v>
      </c>
      <c r="K6" s="10" t="str">
        <f t="shared" si="5"/>
        <v>MGQ-BSA</v>
      </c>
      <c r="L6" s="10" t="str">
        <f t="shared" si="6"/>
        <v>ABK00005</v>
      </c>
    </row>
    <row r="7" spans="1:12">
      <c r="A7" t="s">
        <v>63</v>
      </c>
      <c r="B7" s="5">
        <v>45873</v>
      </c>
      <c r="C7" t="s">
        <v>32</v>
      </c>
      <c r="D7" t="s">
        <v>9</v>
      </c>
      <c r="E7" t="s">
        <v>10</v>
      </c>
      <c r="F7" s="7">
        <v>123.12</v>
      </c>
      <c r="G7" t="s">
        <v>14</v>
      </c>
      <c r="H7" t="str">
        <f t="shared" si="0"/>
        <v>Adult</v>
      </c>
      <c r="I7" t="str">
        <f t="shared" si="1"/>
        <v>Economy</v>
      </c>
      <c r="J7" t="str">
        <f t="shared" si="2"/>
        <v>Completed</v>
      </c>
      <c r="K7" s="10" t="str">
        <f t="shared" si="5"/>
        <v>MGQ-BSA</v>
      </c>
      <c r="L7" s="10" t="str">
        <f t="shared" si="6"/>
        <v>ABK00006</v>
      </c>
    </row>
    <row r="8" spans="1:12">
      <c r="A8" t="s">
        <v>222</v>
      </c>
      <c r="B8" s="5">
        <v>46028</v>
      </c>
      <c r="C8" t="s">
        <v>18</v>
      </c>
      <c r="D8" t="s">
        <v>9</v>
      </c>
      <c r="E8" t="s">
        <v>33</v>
      </c>
      <c r="F8" s="7">
        <v>427.82</v>
      </c>
      <c r="G8" t="s">
        <v>14</v>
      </c>
      <c r="H8" t="str">
        <f t="shared" si="0"/>
        <v>Adult</v>
      </c>
      <c r="I8" t="str">
        <f t="shared" si="1"/>
        <v>Business</v>
      </c>
      <c r="J8" t="str">
        <f t="shared" si="2"/>
        <v>Completed</v>
      </c>
      <c r="K8" s="10" t="str">
        <f t="shared" si="5"/>
        <v>MGQ-NBO</v>
      </c>
      <c r="L8" s="10" t="str">
        <f t="shared" si="6"/>
        <v>ABK00008</v>
      </c>
    </row>
    <row r="9" spans="1:12">
      <c r="A9" t="s">
        <v>274</v>
      </c>
      <c r="B9" s="5">
        <v>45983</v>
      </c>
      <c r="C9" t="s">
        <v>24</v>
      </c>
      <c r="D9" t="s">
        <v>9</v>
      </c>
      <c r="E9" t="s">
        <v>84</v>
      </c>
      <c r="F9" s="7">
        <v>169.56</v>
      </c>
      <c r="G9" t="s">
        <v>11</v>
      </c>
      <c r="H9" t="str">
        <f t="shared" si="0"/>
        <v>Adult</v>
      </c>
      <c r="I9" t="str">
        <f t="shared" si="1"/>
        <v>Unknown</v>
      </c>
      <c r="J9" t="str">
        <f t="shared" si="2"/>
        <v>Confirmed</v>
      </c>
      <c r="K9" s="10" t="str">
        <f t="shared" si="5"/>
        <v>MGQ-KMU</v>
      </c>
      <c r="L9" s="10" t="str">
        <f t="shared" si="6"/>
        <v>ABK00009</v>
      </c>
    </row>
    <row r="10" spans="1:12">
      <c r="A10" t="s">
        <v>190</v>
      </c>
      <c r="B10" s="5">
        <v>45776</v>
      </c>
      <c r="C10" t="s">
        <v>13</v>
      </c>
      <c r="D10" t="s">
        <v>16</v>
      </c>
      <c r="E10" t="s">
        <v>10</v>
      </c>
      <c r="F10" s="7">
        <v>255.81</v>
      </c>
      <c r="G10" t="s">
        <v>46</v>
      </c>
      <c r="H10" t="str">
        <f t="shared" si="0"/>
        <v>Child</v>
      </c>
      <c r="I10" t="str">
        <f t="shared" si="1"/>
        <v>Economy</v>
      </c>
      <c r="J10" t="str">
        <f t="shared" si="2"/>
        <v>Cancelled</v>
      </c>
      <c r="K10" s="10" t="str">
        <f t="shared" si="5"/>
        <v>MGQ-ADD</v>
      </c>
      <c r="L10" s="10" t="str">
        <f t="shared" si="6"/>
        <v>ABK00010</v>
      </c>
    </row>
    <row r="11" spans="1:12">
      <c r="A11" t="s">
        <v>283</v>
      </c>
      <c r="B11" s="5">
        <v>45874</v>
      </c>
      <c r="C11" t="s">
        <v>18</v>
      </c>
      <c r="D11" t="s">
        <v>9</v>
      </c>
      <c r="E11" t="s">
        <v>10</v>
      </c>
      <c r="F11" s="7">
        <v>262.08999999999997</v>
      </c>
      <c r="G11" t="s">
        <v>11</v>
      </c>
      <c r="H11" t="str">
        <f t="shared" si="0"/>
        <v>Adult</v>
      </c>
      <c r="I11" t="str">
        <f t="shared" si="1"/>
        <v>Economy</v>
      </c>
      <c r="J11" t="str">
        <f t="shared" si="2"/>
        <v>Confirmed</v>
      </c>
      <c r="K11" s="10" t="str">
        <f t="shared" si="5"/>
        <v>MGQ-NBO</v>
      </c>
      <c r="L11" s="10" t="str">
        <f t="shared" si="6"/>
        <v>ABK00011</v>
      </c>
    </row>
    <row r="12" spans="1:12">
      <c r="A12" t="s">
        <v>217</v>
      </c>
      <c r="B12" s="5">
        <v>45961</v>
      </c>
      <c r="C12" t="s">
        <v>32</v>
      </c>
      <c r="D12" t="s">
        <v>9</v>
      </c>
      <c r="E12" t="s">
        <v>10</v>
      </c>
      <c r="F12" s="7">
        <v>105.72</v>
      </c>
      <c r="G12" t="s">
        <v>14</v>
      </c>
      <c r="H12" t="str">
        <f t="shared" si="0"/>
        <v>Adult</v>
      </c>
      <c r="I12" t="str">
        <f t="shared" si="1"/>
        <v>Economy</v>
      </c>
      <c r="J12" t="str">
        <f t="shared" si="2"/>
        <v>Completed</v>
      </c>
      <c r="K12" s="10" t="str">
        <f t="shared" si="5"/>
        <v>MGQ-BSA</v>
      </c>
      <c r="L12" s="10" t="str">
        <f t="shared" si="6"/>
        <v>ABK00012</v>
      </c>
    </row>
    <row r="13" spans="1:12">
      <c r="A13" t="s">
        <v>183</v>
      </c>
      <c r="B13" s="5">
        <v>46035</v>
      </c>
      <c r="C13" t="s">
        <v>18</v>
      </c>
      <c r="D13" t="s">
        <v>9</v>
      </c>
      <c r="E13" t="s">
        <v>33</v>
      </c>
      <c r="F13" s="7">
        <v>482.08</v>
      </c>
      <c r="G13" t="s">
        <v>14</v>
      </c>
      <c r="H13" t="str">
        <f t="shared" si="0"/>
        <v>Adult</v>
      </c>
      <c r="I13" t="str">
        <f t="shared" si="1"/>
        <v>Business</v>
      </c>
      <c r="J13" t="str">
        <f t="shared" si="2"/>
        <v>Completed</v>
      </c>
      <c r="K13" s="10" t="str">
        <f t="shared" si="5"/>
        <v>MGQ-NBO</v>
      </c>
      <c r="L13" s="10" t="str">
        <f t="shared" si="6"/>
        <v>ABK00013</v>
      </c>
    </row>
    <row r="14" spans="1:12">
      <c r="A14" t="s">
        <v>87</v>
      </c>
      <c r="B14" s="5">
        <v>45820</v>
      </c>
      <c r="C14" t="s">
        <v>18</v>
      </c>
      <c r="D14" t="s">
        <v>9</v>
      </c>
      <c r="E14" t="s">
        <v>33</v>
      </c>
      <c r="F14" s="7">
        <v>418.55</v>
      </c>
      <c r="G14" t="s">
        <v>14</v>
      </c>
      <c r="H14" t="str">
        <f t="shared" si="0"/>
        <v>Adult</v>
      </c>
      <c r="I14" t="str">
        <f t="shared" si="1"/>
        <v>Business</v>
      </c>
      <c r="J14" t="str">
        <f t="shared" si="2"/>
        <v>Completed</v>
      </c>
      <c r="K14" s="10" t="str">
        <f t="shared" si="5"/>
        <v>MGQ-NBO</v>
      </c>
      <c r="L14" s="10" t="str">
        <f t="shared" si="6"/>
        <v>ABK00014</v>
      </c>
    </row>
    <row r="15" spans="1:12">
      <c r="A15" t="s">
        <v>244</v>
      </c>
      <c r="B15" s="5">
        <v>45977</v>
      </c>
      <c r="C15" t="s">
        <v>24</v>
      </c>
      <c r="D15" t="s">
        <v>16</v>
      </c>
      <c r="E15" t="s">
        <v>10</v>
      </c>
      <c r="F15" s="7">
        <v>83.09</v>
      </c>
      <c r="G15" t="s">
        <v>11</v>
      </c>
      <c r="H15" t="str">
        <f t="shared" si="0"/>
        <v>Child</v>
      </c>
      <c r="I15" t="str">
        <f t="shared" si="1"/>
        <v>Economy</v>
      </c>
      <c r="J15" t="str">
        <f t="shared" si="2"/>
        <v>Confirmed</v>
      </c>
      <c r="K15" s="10" t="str">
        <f t="shared" si="5"/>
        <v>MGQ-KMU</v>
      </c>
      <c r="L15" s="10" t="str">
        <f t="shared" si="6"/>
        <v>ABK00015</v>
      </c>
    </row>
    <row r="16" spans="1:12">
      <c r="A16" t="s">
        <v>19</v>
      </c>
      <c r="B16" s="5">
        <v>45949</v>
      </c>
      <c r="C16" t="s">
        <v>13</v>
      </c>
      <c r="D16" t="s">
        <v>16</v>
      </c>
      <c r="E16" t="s">
        <v>10</v>
      </c>
      <c r="F16" s="7">
        <v>199.01</v>
      </c>
      <c r="G16" t="s">
        <v>14</v>
      </c>
      <c r="H16" t="str">
        <f t="shared" si="0"/>
        <v>Child</v>
      </c>
      <c r="I16" t="str">
        <f t="shared" si="1"/>
        <v>Economy</v>
      </c>
      <c r="J16" t="str">
        <f t="shared" si="2"/>
        <v>Completed</v>
      </c>
      <c r="K16" s="10" t="str">
        <f t="shared" si="5"/>
        <v>MGQ-ADD</v>
      </c>
      <c r="L16" s="10" t="str">
        <f t="shared" si="6"/>
        <v>ABK00016</v>
      </c>
    </row>
    <row r="17" spans="1:12">
      <c r="A17" t="s">
        <v>249</v>
      </c>
      <c r="B17" s="5">
        <v>46195</v>
      </c>
      <c r="C17" t="s">
        <v>13</v>
      </c>
      <c r="D17" t="s">
        <v>9</v>
      </c>
      <c r="E17" t="s">
        <v>10</v>
      </c>
      <c r="F17" s="7">
        <v>214.48</v>
      </c>
      <c r="G17" t="s">
        <v>14</v>
      </c>
      <c r="H17" t="str">
        <f t="shared" si="0"/>
        <v>Adult</v>
      </c>
      <c r="I17" t="str">
        <f t="shared" si="1"/>
        <v>Economy</v>
      </c>
      <c r="J17" t="str">
        <f t="shared" si="2"/>
        <v>Completed</v>
      </c>
      <c r="K17" s="10" t="str">
        <f t="shared" si="5"/>
        <v>MGQ-ADD</v>
      </c>
      <c r="L17" s="10" t="str">
        <f t="shared" si="6"/>
        <v>ABK00017</v>
      </c>
    </row>
    <row r="18" spans="1:12">
      <c r="A18" t="s">
        <v>290</v>
      </c>
      <c r="B18" s="5">
        <v>45953</v>
      </c>
      <c r="C18" t="s">
        <v>24</v>
      </c>
      <c r="D18" t="s">
        <v>9</v>
      </c>
      <c r="E18" t="s">
        <v>10</v>
      </c>
      <c r="F18" s="7">
        <v>103.92</v>
      </c>
      <c r="G18" t="s">
        <v>14</v>
      </c>
      <c r="H18" t="str">
        <f t="shared" si="0"/>
        <v>Adult</v>
      </c>
      <c r="I18" t="str">
        <f t="shared" si="1"/>
        <v>Economy</v>
      </c>
      <c r="J18" t="str">
        <f t="shared" si="2"/>
        <v>Completed</v>
      </c>
      <c r="K18" s="10" t="str">
        <f t="shared" si="5"/>
        <v>MGQ-KMU</v>
      </c>
      <c r="L18" s="10" t="str">
        <f t="shared" si="6"/>
        <v>ABK00018</v>
      </c>
    </row>
    <row r="19" spans="1:12">
      <c r="A19" t="s">
        <v>153</v>
      </c>
      <c r="B19" s="5">
        <v>46005</v>
      </c>
      <c r="C19" t="s">
        <v>8</v>
      </c>
      <c r="D19" t="s">
        <v>9</v>
      </c>
      <c r="E19" t="s">
        <v>10</v>
      </c>
      <c r="F19" s="7">
        <v>91.22</v>
      </c>
      <c r="G19" t="s">
        <v>84</v>
      </c>
      <c r="H19" t="str">
        <f t="shared" si="0"/>
        <v>Adult</v>
      </c>
      <c r="I19" t="str">
        <f t="shared" si="1"/>
        <v>Economy</v>
      </c>
      <c r="J19" t="str">
        <f t="shared" si="2"/>
        <v>Unknown</v>
      </c>
      <c r="K19" s="10" t="str">
        <f t="shared" si="5"/>
        <v>MGQ-HGA</v>
      </c>
      <c r="L19" s="10" t="str">
        <f t="shared" si="6"/>
        <v>ABK00019</v>
      </c>
    </row>
    <row r="20" spans="1:12">
      <c r="A20" t="s">
        <v>193</v>
      </c>
      <c r="B20" s="5">
        <v>45878</v>
      </c>
      <c r="C20" t="s">
        <v>13</v>
      </c>
      <c r="D20" t="s">
        <v>9</v>
      </c>
      <c r="E20" t="s">
        <v>84</v>
      </c>
      <c r="F20" s="7">
        <v>275.36</v>
      </c>
      <c r="G20" t="s">
        <v>14</v>
      </c>
      <c r="H20" t="str">
        <f t="shared" si="0"/>
        <v>Adult</v>
      </c>
      <c r="I20" t="str">
        <f t="shared" si="1"/>
        <v>Unknown</v>
      </c>
      <c r="J20" t="str">
        <f t="shared" si="2"/>
        <v>Completed</v>
      </c>
      <c r="K20" s="10" t="str">
        <f t="shared" si="5"/>
        <v>MGQ-ADD</v>
      </c>
      <c r="L20" s="10" t="str">
        <f t="shared" si="6"/>
        <v>ABK00020</v>
      </c>
    </row>
    <row r="21" spans="1:12">
      <c r="A21" t="s">
        <v>156</v>
      </c>
      <c r="B21" s="5">
        <v>46224</v>
      </c>
      <c r="C21" t="s">
        <v>8</v>
      </c>
      <c r="D21" t="s">
        <v>22</v>
      </c>
      <c r="E21" t="s">
        <v>10</v>
      </c>
      <c r="F21" s="7">
        <v>105.65</v>
      </c>
      <c r="G21" t="s">
        <v>14</v>
      </c>
      <c r="H21" t="str">
        <f t="shared" si="0"/>
        <v>Senior</v>
      </c>
      <c r="I21" t="str">
        <f t="shared" si="1"/>
        <v>Economy</v>
      </c>
      <c r="J21" t="str">
        <f t="shared" si="2"/>
        <v>Completed</v>
      </c>
      <c r="K21" s="10" t="str">
        <f t="shared" si="5"/>
        <v>MGQ-HGA</v>
      </c>
      <c r="L21" s="10" t="str">
        <f t="shared" si="6"/>
        <v>ABK00021</v>
      </c>
    </row>
    <row r="22" spans="1:12">
      <c r="A22" t="s">
        <v>140</v>
      </c>
      <c r="B22" s="5">
        <v>46107</v>
      </c>
      <c r="C22" t="s">
        <v>8</v>
      </c>
      <c r="D22" t="s">
        <v>22</v>
      </c>
      <c r="E22" t="s">
        <v>10</v>
      </c>
      <c r="F22" s="7">
        <v>91.83</v>
      </c>
      <c r="G22" t="s">
        <v>84</v>
      </c>
      <c r="H22" t="str">
        <f t="shared" si="0"/>
        <v>Senior</v>
      </c>
      <c r="I22" t="str">
        <f t="shared" si="1"/>
        <v>Economy</v>
      </c>
      <c r="J22" t="str">
        <f t="shared" si="2"/>
        <v>Unknown</v>
      </c>
      <c r="K22" s="10" t="str">
        <f t="shared" si="5"/>
        <v>MGQ-HGA</v>
      </c>
      <c r="L22" s="10" t="str">
        <f t="shared" si="6"/>
        <v>ABK00022</v>
      </c>
    </row>
    <row r="23" spans="1:12">
      <c r="A23" t="s">
        <v>219</v>
      </c>
      <c r="B23" s="5">
        <v>45827</v>
      </c>
      <c r="C23" t="s">
        <v>18</v>
      </c>
      <c r="D23" t="s">
        <v>9</v>
      </c>
      <c r="E23" t="s">
        <v>10</v>
      </c>
      <c r="F23" s="7">
        <v>197.77</v>
      </c>
      <c r="G23" t="s">
        <v>14</v>
      </c>
      <c r="H23" t="str">
        <f t="shared" si="0"/>
        <v>Adult</v>
      </c>
      <c r="I23" t="str">
        <f t="shared" si="1"/>
        <v>Economy</v>
      </c>
      <c r="J23" t="str">
        <f t="shared" si="2"/>
        <v>Completed</v>
      </c>
      <c r="K23" s="10" t="str">
        <f t="shared" si="5"/>
        <v>MGQ-NBO</v>
      </c>
      <c r="L23" s="10" t="str">
        <f t="shared" si="6"/>
        <v>ABK00023</v>
      </c>
    </row>
    <row r="24" spans="1:12">
      <c r="A24" t="s">
        <v>47</v>
      </c>
      <c r="B24" s="5">
        <v>45840</v>
      </c>
      <c r="C24" t="s">
        <v>18</v>
      </c>
      <c r="D24" t="s">
        <v>84</v>
      </c>
      <c r="E24" t="s">
        <v>10</v>
      </c>
      <c r="F24" s="7">
        <v>270.95</v>
      </c>
      <c r="G24" t="s">
        <v>11</v>
      </c>
      <c r="H24" t="str">
        <f t="shared" si="0"/>
        <v>Unknown</v>
      </c>
      <c r="I24" t="str">
        <f t="shared" si="1"/>
        <v>Economy</v>
      </c>
      <c r="J24" t="str">
        <f t="shared" si="2"/>
        <v>Confirmed</v>
      </c>
      <c r="K24" s="10" t="str">
        <f t="shared" si="5"/>
        <v>MGQ-NBO</v>
      </c>
      <c r="L24" s="10" t="str">
        <f t="shared" si="6"/>
        <v>ABK00026</v>
      </c>
    </row>
    <row r="25" spans="1:12">
      <c r="A25" t="s">
        <v>254</v>
      </c>
      <c r="B25" s="5">
        <v>46024</v>
      </c>
      <c r="C25" t="s">
        <v>13</v>
      </c>
      <c r="D25" t="s">
        <v>9</v>
      </c>
      <c r="E25" t="s">
        <v>10</v>
      </c>
      <c r="F25" s="7">
        <v>208.22</v>
      </c>
      <c r="G25" t="s">
        <v>14</v>
      </c>
      <c r="H25" t="str">
        <f t="shared" si="0"/>
        <v>Adult</v>
      </c>
      <c r="I25" t="str">
        <f t="shared" si="1"/>
        <v>Economy</v>
      </c>
      <c r="J25" t="str">
        <f t="shared" si="2"/>
        <v>Completed</v>
      </c>
      <c r="K25" s="10" t="str">
        <f t="shared" si="5"/>
        <v>MGQ-ADD</v>
      </c>
      <c r="L25" s="10" t="str">
        <f t="shared" si="6"/>
        <v>ABK00027</v>
      </c>
    </row>
    <row r="26" spans="1:12">
      <c r="A26" t="s">
        <v>231</v>
      </c>
      <c r="B26" s="5">
        <v>45905</v>
      </c>
      <c r="C26" t="s">
        <v>8</v>
      </c>
      <c r="D26" t="s">
        <v>9</v>
      </c>
      <c r="E26" t="s">
        <v>10</v>
      </c>
      <c r="F26" s="7">
        <v>95.61</v>
      </c>
      <c r="G26" t="s">
        <v>11</v>
      </c>
      <c r="H26" t="str">
        <f t="shared" si="0"/>
        <v>Adult</v>
      </c>
      <c r="I26" t="str">
        <f t="shared" si="1"/>
        <v>Economy</v>
      </c>
      <c r="J26" t="str">
        <f t="shared" si="2"/>
        <v>Confirmed</v>
      </c>
      <c r="K26" s="10" t="str">
        <f t="shared" si="5"/>
        <v>MGQ-HGA</v>
      </c>
      <c r="L26" s="10" t="str">
        <f t="shared" si="6"/>
        <v>ABK00028</v>
      </c>
    </row>
    <row r="27" spans="1:12">
      <c r="A27" t="s">
        <v>54</v>
      </c>
      <c r="B27" s="5">
        <v>45859</v>
      </c>
      <c r="C27" t="s">
        <v>18</v>
      </c>
      <c r="D27" t="s">
        <v>9</v>
      </c>
      <c r="E27" t="s">
        <v>10</v>
      </c>
      <c r="F27" s="7">
        <v>195.97</v>
      </c>
      <c r="G27" t="s">
        <v>46</v>
      </c>
      <c r="H27" t="str">
        <f t="shared" si="0"/>
        <v>Adult</v>
      </c>
      <c r="I27" t="str">
        <f t="shared" si="1"/>
        <v>Economy</v>
      </c>
      <c r="J27" t="str">
        <f t="shared" si="2"/>
        <v>Cancelled</v>
      </c>
      <c r="K27" s="10" t="str">
        <f t="shared" si="5"/>
        <v>MGQ-NBO</v>
      </c>
      <c r="L27" s="10" t="str">
        <f t="shared" si="6"/>
        <v>ABK00029</v>
      </c>
    </row>
    <row r="28" spans="1:12">
      <c r="A28" t="s">
        <v>110</v>
      </c>
      <c r="B28" s="5">
        <v>46017</v>
      </c>
      <c r="C28" t="s">
        <v>13</v>
      </c>
      <c r="D28" t="s">
        <v>111</v>
      </c>
      <c r="E28" t="s">
        <v>84</v>
      </c>
      <c r="F28" s="7">
        <v>228.18</v>
      </c>
      <c r="G28" t="s">
        <v>11</v>
      </c>
      <c r="H28" t="str">
        <f t="shared" si="0"/>
        <v>Adult</v>
      </c>
      <c r="I28" t="str">
        <f t="shared" si="1"/>
        <v>Unknown</v>
      </c>
      <c r="J28" t="str">
        <f t="shared" si="2"/>
        <v>Confirmed</v>
      </c>
      <c r="K28" s="10" t="str">
        <f t="shared" si="5"/>
        <v>MGQ-ADD</v>
      </c>
      <c r="L28" s="10" t="str">
        <f t="shared" si="6"/>
        <v>ABK00030</v>
      </c>
    </row>
    <row r="29" spans="1:12">
      <c r="A29" t="s">
        <v>181</v>
      </c>
      <c r="B29" s="5">
        <v>45872</v>
      </c>
      <c r="C29" t="s">
        <v>8</v>
      </c>
      <c r="D29" t="s">
        <v>84</v>
      </c>
      <c r="E29" t="s">
        <v>10</v>
      </c>
      <c r="F29" s="7">
        <v>117.64</v>
      </c>
      <c r="G29" t="s">
        <v>14</v>
      </c>
      <c r="H29" t="str">
        <f t="shared" si="0"/>
        <v>Unknown</v>
      </c>
      <c r="I29" t="str">
        <f t="shared" si="1"/>
        <v>Economy</v>
      </c>
      <c r="J29" t="str">
        <f t="shared" si="2"/>
        <v>Completed</v>
      </c>
      <c r="K29" s="10" t="str">
        <f t="shared" si="5"/>
        <v>MGQ-HGA</v>
      </c>
      <c r="L29" s="10" t="str">
        <f t="shared" si="6"/>
        <v>ABK00031</v>
      </c>
    </row>
    <row r="30" spans="1:12">
      <c r="A30" t="s">
        <v>50</v>
      </c>
      <c r="B30" s="5">
        <v>45974</v>
      </c>
      <c r="C30" t="s">
        <v>13</v>
      </c>
      <c r="D30" t="s">
        <v>9</v>
      </c>
      <c r="E30" t="s">
        <v>10</v>
      </c>
      <c r="F30" s="7">
        <v>254.28</v>
      </c>
      <c r="G30" t="s">
        <v>46</v>
      </c>
      <c r="H30" t="str">
        <f t="shared" si="0"/>
        <v>Adult</v>
      </c>
      <c r="I30" t="str">
        <f t="shared" si="1"/>
        <v>Economy</v>
      </c>
      <c r="J30" t="str">
        <f t="shared" si="2"/>
        <v>Cancelled</v>
      </c>
      <c r="K30" s="10" t="str">
        <f t="shared" si="5"/>
        <v>MGQ-ADD</v>
      </c>
      <c r="L30" s="10" t="str">
        <f t="shared" si="6"/>
        <v>ABK00032</v>
      </c>
    </row>
    <row r="31" spans="1:12">
      <c r="A31" t="s">
        <v>17</v>
      </c>
      <c r="B31" s="5">
        <v>46095</v>
      </c>
      <c r="C31" t="s">
        <v>18</v>
      </c>
      <c r="D31" t="s">
        <v>9</v>
      </c>
      <c r="E31" t="s">
        <v>10</v>
      </c>
      <c r="F31" s="7">
        <v>235.81</v>
      </c>
      <c r="G31" t="s">
        <v>84</v>
      </c>
      <c r="H31" t="str">
        <f t="shared" si="0"/>
        <v>Adult</v>
      </c>
      <c r="I31" t="str">
        <f t="shared" si="1"/>
        <v>Economy</v>
      </c>
      <c r="J31" t="str">
        <f t="shared" si="2"/>
        <v>Unknown</v>
      </c>
      <c r="K31" s="10" t="str">
        <f t="shared" si="5"/>
        <v>MGQ-NBO</v>
      </c>
      <c r="L31" s="10" t="str">
        <f t="shared" si="6"/>
        <v>ABK00033</v>
      </c>
    </row>
    <row r="32" spans="1:12">
      <c r="A32" t="s">
        <v>173</v>
      </c>
      <c r="B32" s="5">
        <v>45688</v>
      </c>
      <c r="C32" t="s">
        <v>84</v>
      </c>
      <c r="D32" t="s">
        <v>9</v>
      </c>
      <c r="E32" t="s">
        <v>10</v>
      </c>
      <c r="F32" s="7">
        <v>266.48</v>
      </c>
      <c r="G32" t="s">
        <v>84</v>
      </c>
      <c r="H32" t="str">
        <f t="shared" si="0"/>
        <v>Adult</v>
      </c>
      <c r="I32" t="str">
        <f t="shared" si="1"/>
        <v>Economy</v>
      </c>
      <c r="J32" t="str">
        <f t="shared" si="2"/>
        <v>Unknown</v>
      </c>
      <c r="K32" s="10" t="str">
        <f t="shared" si="5"/>
        <v>UNKNOWN</v>
      </c>
      <c r="L32" s="10" t="str">
        <f t="shared" si="6"/>
        <v>ABK00034</v>
      </c>
    </row>
    <row r="33" spans="1:12">
      <c r="A33" t="s">
        <v>229</v>
      </c>
      <c r="B33" s="5">
        <v>46107</v>
      </c>
      <c r="C33" t="s">
        <v>18</v>
      </c>
      <c r="D33" t="s">
        <v>9</v>
      </c>
      <c r="E33" t="s">
        <v>10</v>
      </c>
      <c r="F33" s="7">
        <v>269.86</v>
      </c>
      <c r="G33" t="s">
        <v>84</v>
      </c>
      <c r="H33" t="str">
        <f t="shared" si="0"/>
        <v>Adult</v>
      </c>
      <c r="I33" t="str">
        <f t="shared" si="1"/>
        <v>Economy</v>
      </c>
      <c r="J33" t="str">
        <f t="shared" si="2"/>
        <v>Unknown</v>
      </c>
      <c r="K33" s="10" t="str">
        <f t="shared" si="5"/>
        <v>MGQ-NBO</v>
      </c>
      <c r="L33" s="10" t="str">
        <f t="shared" si="6"/>
        <v>ABK00035</v>
      </c>
    </row>
    <row r="34" spans="1:12">
      <c r="A34" t="s">
        <v>23</v>
      </c>
      <c r="B34" s="5">
        <v>46020</v>
      </c>
      <c r="C34" t="s">
        <v>24</v>
      </c>
      <c r="D34" t="s">
        <v>9</v>
      </c>
      <c r="E34" t="s">
        <v>10</v>
      </c>
      <c r="F34" s="7">
        <v>81.88</v>
      </c>
      <c r="G34" t="s">
        <v>14</v>
      </c>
      <c r="H34" t="str">
        <f t="shared" si="0"/>
        <v>Adult</v>
      </c>
      <c r="I34" t="str">
        <f t="shared" si="1"/>
        <v>Economy</v>
      </c>
      <c r="J34" t="str">
        <f t="shared" si="2"/>
        <v>Completed</v>
      </c>
      <c r="K34" s="10" t="str">
        <f t="shared" si="5"/>
        <v>MGQ-KMU</v>
      </c>
      <c r="L34" s="10" t="str">
        <f t="shared" si="6"/>
        <v>ABK00036</v>
      </c>
    </row>
    <row r="35" spans="1:12">
      <c r="A35" t="s">
        <v>62</v>
      </c>
      <c r="B35" s="5">
        <v>46166</v>
      </c>
      <c r="C35" t="s">
        <v>84</v>
      </c>
      <c r="D35" t="s">
        <v>9</v>
      </c>
      <c r="E35" t="s">
        <v>10</v>
      </c>
      <c r="F35" s="7">
        <v>274.45999999999998</v>
      </c>
      <c r="G35" t="s">
        <v>11</v>
      </c>
      <c r="H35" t="str">
        <f t="shared" si="0"/>
        <v>Adult</v>
      </c>
      <c r="I35" t="str">
        <f t="shared" si="1"/>
        <v>Economy</v>
      </c>
      <c r="J35" t="str">
        <f t="shared" si="2"/>
        <v>Confirmed</v>
      </c>
      <c r="K35" s="10" t="str">
        <f t="shared" si="5"/>
        <v>UNKNOWN</v>
      </c>
      <c r="L35" s="10" t="str">
        <f t="shared" si="6"/>
        <v>ABK00037</v>
      </c>
    </row>
    <row r="36" spans="1:12">
      <c r="A36" t="s">
        <v>291</v>
      </c>
      <c r="B36" s="5">
        <v>46033</v>
      </c>
      <c r="C36" t="s">
        <v>18</v>
      </c>
      <c r="D36" t="s">
        <v>16</v>
      </c>
      <c r="E36" t="s">
        <v>10</v>
      </c>
      <c r="F36" s="7">
        <v>204.43</v>
      </c>
      <c r="G36" t="s">
        <v>46</v>
      </c>
      <c r="H36" t="str">
        <f t="shared" si="0"/>
        <v>Child</v>
      </c>
      <c r="I36" t="str">
        <f t="shared" si="1"/>
        <v>Economy</v>
      </c>
      <c r="J36" t="str">
        <f t="shared" si="2"/>
        <v>Cancelled</v>
      </c>
      <c r="K36" s="10" t="str">
        <f t="shared" si="5"/>
        <v>MGQ-NBO</v>
      </c>
      <c r="L36" s="10" t="str">
        <f t="shared" si="6"/>
        <v>ABK00038</v>
      </c>
    </row>
    <row r="37" spans="1:12">
      <c r="A37" t="s">
        <v>155</v>
      </c>
      <c r="B37" s="5">
        <v>45661</v>
      </c>
      <c r="C37" t="s">
        <v>24</v>
      </c>
      <c r="D37" t="s">
        <v>16</v>
      </c>
      <c r="E37" t="s">
        <v>10</v>
      </c>
      <c r="F37" s="7">
        <v>102.23</v>
      </c>
      <c r="G37" t="s">
        <v>71</v>
      </c>
      <c r="H37" t="str">
        <f t="shared" si="0"/>
        <v>Child</v>
      </c>
      <c r="I37" t="str">
        <f t="shared" si="1"/>
        <v>Economy</v>
      </c>
      <c r="J37" t="str">
        <f t="shared" si="2"/>
        <v>Completed</v>
      </c>
      <c r="K37" s="10" t="str">
        <f t="shared" si="5"/>
        <v>MGQ-KMU</v>
      </c>
      <c r="L37" s="10" t="str">
        <f t="shared" si="6"/>
        <v>ABK00039</v>
      </c>
    </row>
    <row r="38" spans="1:12">
      <c r="A38" t="s">
        <v>192</v>
      </c>
      <c r="B38" s="5">
        <v>45880</v>
      </c>
      <c r="C38" t="s">
        <v>24</v>
      </c>
      <c r="D38" t="s">
        <v>9</v>
      </c>
      <c r="E38" t="s">
        <v>84</v>
      </c>
      <c r="F38" s="7">
        <v>81.39</v>
      </c>
      <c r="G38" t="s">
        <v>46</v>
      </c>
      <c r="H38" t="str">
        <f t="shared" si="0"/>
        <v>Adult</v>
      </c>
      <c r="I38" t="str">
        <f t="shared" si="1"/>
        <v>Unknown</v>
      </c>
      <c r="J38" t="str">
        <f t="shared" si="2"/>
        <v>Cancelled</v>
      </c>
      <c r="K38" s="10" t="str">
        <f t="shared" si="5"/>
        <v>MGQ-KMU</v>
      </c>
      <c r="L38" s="10" t="str">
        <f t="shared" si="6"/>
        <v>ABK00040</v>
      </c>
    </row>
    <row r="39" spans="1:12">
      <c r="A39" t="s">
        <v>40</v>
      </c>
      <c r="B39" s="5">
        <v>45661</v>
      </c>
      <c r="C39" t="s">
        <v>32</v>
      </c>
      <c r="D39" t="s">
        <v>9</v>
      </c>
      <c r="E39" t="s">
        <v>10</v>
      </c>
      <c r="F39" s="7">
        <v>115.36</v>
      </c>
      <c r="G39" t="s">
        <v>14</v>
      </c>
      <c r="H39" t="str">
        <f t="shared" si="0"/>
        <v>Adult</v>
      </c>
      <c r="I39" t="str">
        <f t="shared" si="1"/>
        <v>Economy</v>
      </c>
      <c r="J39" t="str">
        <f t="shared" si="2"/>
        <v>Completed</v>
      </c>
      <c r="K39" s="10" t="str">
        <f t="shared" si="5"/>
        <v>MGQ-BSA</v>
      </c>
      <c r="L39" s="10" t="str">
        <f t="shared" si="6"/>
        <v>ABK00041</v>
      </c>
    </row>
    <row r="40" spans="1:12">
      <c r="A40" t="s">
        <v>281</v>
      </c>
      <c r="B40" s="5">
        <v>45661</v>
      </c>
      <c r="C40" t="s">
        <v>32</v>
      </c>
      <c r="D40" t="s">
        <v>9</v>
      </c>
      <c r="E40" t="s">
        <v>10</v>
      </c>
      <c r="F40" s="7">
        <v>107.72</v>
      </c>
      <c r="G40" t="s">
        <v>46</v>
      </c>
      <c r="H40" t="str">
        <f t="shared" si="0"/>
        <v>Adult</v>
      </c>
      <c r="I40" t="str">
        <f t="shared" si="1"/>
        <v>Economy</v>
      </c>
      <c r="J40" t="str">
        <f t="shared" si="2"/>
        <v>Cancelled</v>
      </c>
      <c r="K40" s="10" t="str">
        <f t="shared" si="5"/>
        <v>MGQ-BSA</v>
      </c>
      <c r="L40" s="10" t="str">
        <f t="shared" si="6"/>
        <v>ABK00042</v>
      </c>
    </row>
    <row r="41" spans="1:12">
      <c r="A41" t="s">
        <v>199</v>
      </c>
      <c r="B41" s="5">
        <v>45754</v>
      </c>
      <c r="C41" t="s">
        <v>32</v>
      </c>
      <c r="D41" t="s">
        <v>9</v>
      </c>
      <c r="E41" t="s">
        <v>10</v>
      </c>
      <c r="F41" s="7">
        <v>111.08</v>
      </c>
      <c r="G41" t="s">
        <v>14</v>
      </c>
      <c r="H41" t="str">
        <f t="shared" si="0"/>
        <v>Adult</v>
      </c>
      <c r="I41" t="str">
        <f t="shared" si="1"/>
        <v>Economy</v>
      </c>
      <c r="J41" t="str">
        <f t="shared" si="2"/>
        <v>Completed</v>
      </c>
      <c r="K41" s="10" t="str">
        <f t="shared" si="5"/>
        <v>MGQ-BSA</v>
      </c>
      <c r="L41" s="10" t="str">
        <f t="shared" si="6"/>
        <v>ABK00043</v>
      </c>
    </row>
    <row r="42" spans="1:12">
      <c r="A42" t="s">
        <v>30</v>
      </c>
      <c r="B42" s="5">
        <v>45773</v>
      </c>
      <c r="C42" t="s">
        <v>8</v>
      </c>
      <c r="D42" t="s">
        <v>9</v>
      </c>
      <c r="E42" t="s">
        <v>10</v>
      </c>
      <c r="F42" s="7">
        <v>86.88</v>
      </c>
      <c r="G42" t="s">
        <v>14</v>
      </c>
      <c r="H42" t="str">
        <f t="shared" si="0"/>
        <v>Adult</v>
      </c>
      <c r="I42" t="str">
        <f t="shared" si="1"/>
        <v>Economy</v>
      </c>
      <c r="J42" t="str">
        <f t="shared" si="2"/>
        <v>Completed</v>
      </c>
      <c r="K42" s="10" t="str">
        <f t="shared" si="5"/>
        <v>MGQ-HGA</v>
      </c>
      <c r="L42" s="10" t="str">
        <f t="shared" si="6"/>
        <v>ABK00044</v>
      </c>
    </row>
    <row r="43" spans="1:12">
      <c r="A43" t="s">
        <v>93</v>
      </c>
      <c r="B43" s="5">
        <v>46075</v>
      </c>
      <c r="C43" t="s">
        <v>24</v>
      </c>
      <c r="D43" t="s">
        <v>84</v>
      </c>
      <c r="E43" t="s">
        <v>10</v>
      </c>
      <c r="F43" s="7">
        <v>108.58</v>
      </c>
      <c r="G43" t="s">
        <v>14</v>
      </c>
      <c r="H43" t="str">
        <f t="shared" si="0"/>
        <v>Unknown</v>
      </c>
      <c r="I43" t="str">
        <f t="shared" si="1"/>
        <v>Economy</v>
      </c>
      <c r="J43" t="str">
        <f t="shared" si="2"/>
        <v>Completed</v>
      </c>
      <c r="K43" s="10" t="str">
        <f t="shared" si="5"/>
        <v>MGQ-KMU</v>
      </c>
      <c r="L43" s="10" t="str">
        <f t="shared" si="6"/>
        <v>ABK00045</v>
      </c>
    </row>
    <row r="44" spans="1:12">
      <c r="A44" t="s">
        <v>101</v>
      </c>
      <c r="B44" s="5">
        <v>45729</v>
      </c>
      <c r="C44" t="s">
        <v>18</v>
      </c>
      <c r="D44" t="s">
        <v>9</v>
      </c>
      <c r="E44" t="s">
        <v>33</v>
      </c>
      <c r="F44" s="7">
        <v>458.63</v>
      </c>
      <c r="G44" t="s">
        <v>84</v>
      </c>
      <c r="H44" t="str">
        <f t="shared" si="0"/>
        <v>Adult</v>
      </c>
      <c r="I44" t="str">
        <f t="shared" si="1"/>
        <v>Business</v>
      </c>
      <c r="J44" t="str">
        <f t="shared" si="2"/>
        <v>Unknown</v>
      </c>
      <c r="K44" s="10" t="str">
        <f t="shared" si="5"/>
        <v>MGQ-NBO</v>
      </c>
      <c r="L44" s="10" t="str">
        <f t="shared" si="6"/>
        <v>ABK00046</v>
      </c>
    </row>
    <row r="45" spans="1:12">
      <c r="A45" t="s">
        <v>75</v>
      </c>
      <c r="B45" s="5">
        <v>45661</v>
      </c>
      <c r="C45" t="s">
        <v>32</v>
      </c>
      <c r="D45" t="s">
        <v>9</v>
      </c>
      <c r="E45" t="s">
        <v>10</v>
      </c>
      <c r="F45" s="7">
        <v>94.82</v>
      </c>
      <c r="G45" t="s">
        <v>14</v>
      </c>
      <c r="H45" t="str">
        <f t="shared" si="0"/>
        <v>Adult</v>
      </c>
      <c r="I45" t="str">
        <f t="shared" si="1"/>
        <v>Economy</v>
      </c>
      <c r="J45" t="str">
        <f t="shared" si="2"/>
        <v>Completed</v>
      </c>
      <c r="K45" s="10" t="str">
        <f t="shared" si="5"/>
        <v>MGQ-BSA</v>
      </c>
      <c r="L45" s="10" t="str">
        <f t="shared" si="6"/>
        <v>ABK00047</v>
      </c>
    </row>
    <row r="46" spans="1:12">
      <c r="A46" t="s">
        <v>207</v>
      </c>
      <c r="B46" s="5">
        <v>46163</v>
      </c>
      <c r="C46" t="s">
        <v>8</v>
      </c>
      <c r="D46" t="s">
        <v>9</v>
      </c>
      <c r="E46" t="s">
        <v>10</v>
      </c>
      <c r="F46" s="7">
        <v>92.48</v>
      </c>
      <c r="G46" t="s">
        <v>11</v>
      </c>
      <c r="H46" t="str">
        <f t="shared" si="0"/>
        <v>Adult</v>
      </c>
      <c r="I46" t="str">
        <f t="shared" si="1"/>
        <v>Economy</v>
      </c>
      <c r="J46" t="str">
        <f t="shared" si="2"/>
        <v>Confirmed</v>
      </c>
      <c r="K46" s="10" t="str">
        <f t="shared" si="5"/>
        <v>MGQ-HGA</v>
      </c>
      <c r="L46" s="10" t="str">
        <f t="shared" si="6"/>
        <v>ABK00048</v>
      </c>
    </row>
    <row r="47" spans="1:12">
      <c r="A47" t="s">
        <v>91</v>
      </c>
      <c r="B47" s="5">
        <v>45809</v>
      </c>
      <c r="C47" t="s">
        <v>13</v>
      </c>
      <c r="D47" t="s">
        <v>16</v>
      </c>
      <c r="E47" t="s">
        <v>10</v>
      </c>
      <c r="F47" s="7">
        <v>255.05</v>
      </c>
      <c r="G47" t="s">
        <v>11</v>
      </c>
      <c r="H47" t="str">
        <f t="shared" si="0"/>
        <v>Child</v>
      </c>
      <c r="I47" t="str">
        <f t="shared" si="1"/>
        <v>Economy</v>
      </c>
      <c r="J47" t="str">
        <f t="shared" si="2"/>
        <v>Confirmed</v>
      </c>
      <c r="K47" s="10" t="str">
        <f t="shared" si="5"/>
        <v>MGQ-ADD</v>
      </c>
      <c r="L47" s="10" t="str">
        <f t="shared" si="6"/>
        <v>ABK00049</v>
      </c>
    </row>
    <row r="48" spans="1:12">
      <c r="A48" t="s">
        <v>246</v>
      </c>
      <c r="B48" s="5">
        <v>45856</v>
      </c>
      <c r="C48" t="s">
        <v>8</v>
      </c>
      <c r="D48" t="s">
        <v>16</v>
      </c>
      <c r="E48" t="s">
        <v>10</v>
      </c>
      <c r="F48" s="7">
        <v>199.01</v>
      </c>
      <c r="G48" t="s">
        <v>14</v>
      </c>
      <c r="H48" t="str">
        <f t="shared" si="0"/>
        <v>Child</v>
      </c>
      <c r="I48" t="str">
        <f t="shared" si="1"/>
        <v>Economy</v>
      </c>
      <c r="J48" t="str">
        <f t="shared" si="2"/>
        <v>Completed</v>
      </c>
      <c r="K48" s="10" t="str">
        <f t="shared" si="5"/>
        <v>MGQ-HGA</v>
      </c>
      <c r="L48" s="10" t="str">
        <f t="shared" si="6"/>
        <v>ABK00050</v>
      </c>
    </row>
    <row r="49" spans="1:12">
      <c r="A49" t="s">
        <v>118</v>
      </c>
      <c r="B49" s="5">
        <v>46071</v>
      </c>
      <c r="C49" t="s">
        <v>8</v>
      </c>
      <c r="D49" t="s">
        <v>9</v>
      </c>
      <c r="E49" t="s">
        <v>10</v>
      </c>
      <c r="F49" s="7">
        <v>116.98</v>
      </c>
      <c r="G49" t="s">
        <v>14</v>
      </c>
      <c r="H49" t="str">
        <f t="shared" si="0"/>
        <v>Adult</v>
      </c>
      <c r="I49" t="str">
        <f t="shared" si="1"/>
        <v>Economy</v>
      </c>
      <c r="J49" t="str">
        <f t="shared" si="2"/>
        <v>Completed</v>
      </c>
      <c r="K49" s="10" t="str">
        <f t="shared" si="5"/>
        <v>MGQ-HGA</v>
      </c>
      <c r="L49" s="10" t="str">
        <f t="shared" si="6"/>
        <v>ABK00051</v>
      </c>
    </row>
    <row r="50" spans="1:12">
      <c r="A50" t="s">
        <v>237</v>
      </c>
      <c r="B50" s="5">
        <v>45844</v>
      </c>
      <c r="C50" t="s">
        <v>24</v>
      </c>
      <c r="D50" t="s">
        <v>9</v>
      </c>
      <c r="E50" t="s">
        <v>10</v>
      </c>
      <c r="F50" s="7">
        <v>96.11</v>
      </c>
      <c r="G50" t="s">
        <v>11</v>
      </c>
      <c r="H50" t="str">
        <f t="shared" si="0"/>
        <v>Adult</v>
      </c>
      <c r="I50" t="str">
        <f t="shared" si="1"/>
        <v>Economy</v>
      </c>
      <c r="J50" t="str">
        <f t="shared" si="2"/>
        <v>Confirmed</v>
      </c>
      <c r="K50" s="10" t="str">
        <f t="shared" si="5"/>
        <v>MGQ-KMU</v>
      </c>
      <c r="L50" s="10" t="str">
        <f t="shared" si="6"/>
        <v>ABK00052</v>
      </c>
    </row>
    <row r="51" spans="1:12">
      <c r="A51" t="s">
        <v>216</v>
      </c>
      <c r="B51" s="5">
        <v>46071</v>
      </c>
      <c r="C51" t="s">
        <v>32</v>
      </c>
      <c r="D51" t="s">
        <v>16</v>
      </c>
      <c r="E51" t="s">
        <v>10</v>
      </c>
      <c r="F51" s="7">
        <v>199.01</v>
      </c>
      <c r="G51" t="s">
        <v>11</v>
      </c>
      <c r="H51" t="str">
        <f t="shared" si="0"/>
        <v>Child</v>
      </c>
      <c r="I51" t="str">
        <f t="shared" si="1"/>
        <v>Economy</v>
      </c>
      <c r="J51" t="str">
        <f t="shared" si="2"/>
        <v>Confirmed</v>
      </c>
      <c r="K51" s="10" t="str">
        <f t="shared" si="5"/>
        <v>MGQ-BSA</v>
      </c>
      <c r="L51" s="10" t="str">
        <f t="shared" si="6"/>
        <v>ABK00053</v>
      </c>
    </row>
    <row r="52" spans="1:12">
      <c r="A52" t="s">
        <v>260</v>
      </c>
      <c r="B52" s="5">
        <v>46208</v>
      </c>
      <c r="C52" t="s">
        <v>24</v>
      </c>
      <c r="D52" t="s">
        <v>9</v>
      </c>
      <c r="E52" t="s">
        <v>10</v>
      </c>
      <c r="F52" s="7">
        <v>83.46</v>
      </c>
      <c r="G52" t="s">
        <v>14</v>
      </c>
      <c r="H52" t="str">
        <f t="shared" si="0"/>
        <v>Adult</v>
      </c>
      <c r="I52" t="str">
        <f t="shared" si="1"/>
        <v>Economy</v>
      </c>
      <c r="J52" t="str">
        <f t="shared" si="2"/>
        <v>Completed</v>
      </c>
      <c r="K52" s="10" t="str">
        <f t="shared" si="5"/>
        <v>MGQ-KMU</v>
      </c>
      <c r="L52" s="10" t="str">
        <f t="shared" si="6"/>
        <v>ABK00054</v>
      </c>
    </row>
    <row r="53" spans="1:12">
      <c r="A53" t="s">
        <v>52</v>
      </c>
      <c r="B53" s="5">
        <v>45770</v>
      </c>
      <c r="C53" t="s">
        <v>8</v>
      </c>
      <c r="D53" t="s">
        <v>16</v>
      </c>
      <c r="E53" t="s">
        <v>10</v>
      </c>
      <c r="F53" s="7">
        <v>87.51</v>
      </c>
      <c r="G53" t="s">
        <v>11</v>
      </c>
      <c r="H53" t="str">
        <f t="shared" si="0"/>
        <v>Child</v>
      </c>
      <c r="I53" t="str">
        <f t="shared" si="1"/>
        <v>Economy</v>
      </c>
      <c r="J53" t="str">
        <f t="shared" si="2"/>
        <v>Confirmed</v>
      </c>
      <c r="K53" s="10" t="str">
        <f t="shared" si="5"/>
        <v>MGQ-HGA</v>
      </c>
      <c r="L53" s="10" t="str">
        <f t="shared" si="6"/>
        <v>ABK00056</v>
      </c>
    </row>
    <row r="54" spans="1:12">
      <c r="A54" t="s">
        <v>305</v>
      </c>
      <c r="B54" s="5">
        <v>46028</v>
      </c>
      <c r="C54" t="s">
        <v>32</v>
      </c>
      <c r="D54" t="s">
        <v>9</v>
      </c>
      <c r="E54" t="s">
        <v>10</v>
      </c>
      <c r="F54" s="7">
        <v>112.24</v>
      </c>
      <c r="G54" t="s">
        <v>14</v>
      </c>
      <c r="H54" t="str">
        <f t="shared" si="0"/>
        <v>Adult</v>
      </c>
      <c r="I54" t="str">
        <f t="shared" si="1"/>
        <v>Economy</v>
      </c>
      <c r="J54" t="str">
        <f t="shared" si="2"/>
        <v>Completed</v>
      </c>
      <c r="K54" s="10" t="str">
        <f t="shared" si="5"/>
        <v>MGQ-BSA</v>
      </c>
      <c r="L54" s="10" t="str">
        <f t="shared" si="6"/>
        <v>ABK00057</v>
      </c>
    </row>
    <row r="55" spans="1:12">
      <c r="A55" t="s">
        <v>105</v>
      </c>
      <c r="B55" s="5">
        <v>45894</v>
      </c>
      <c r="C55" t="s">
        <v>13</v>
      </c>
      <c r="D55" t="s">
        <v>9</v>
      </c>
      <c r="E55" t="s">
        <v>10</v>
      </c>
      <c r="F55" s="7">
        <v>237.7</v>
      </c>
      <c r="G55" t="s">
        <v>14</v>
      </c>
      <c r="H55" t="str">
        <f t="shared" si="0"/>
        <v>Adult</v>
      </c>
      <c r="I55" t="str">
        <f t="shared" si="1"/>
        <v>Economy</v>
      </c>
      <c r="J55" t="str">
        <f t="shared" si="2"/>
        <v>Completed</v>
      </c>
      <c r="K55" s="10" t="str">
        <f t="shared" si="5"/>
        <v>MGQ-ADD</v>
      </c>
      <c r="L55" s="10" t="str">
        <f t="shared" si="6"/>
        <v>ABK00058</v>
      </c>
    </row>
    <row r="56" spans="1:12">
      <c r="A56" t="s">
        <v>273</v>
      </c>
      <c r="B56" s="5">
        <v>45778</v>
      </c>
      <c r="C56" t="s">
        <v>18</v>
      </c>
      <c r="D56" t="s">
        <v>9</v>
      </c>
      <c r="E56" t="s">
        <v>10</v>
      </c>
      <c r="F56" s="7">
        <v>261.56</v>
      </c>
      <c r="G56" t="s">
        <v>14</v>
      </c>
      <c r="H56" t="str">
        <f t="shared" si="0"/>
        <v>Adult</v>
      </c>
      <c r="I56" t="str">
        <f t="shared" si="1"/>
        <v>Economy</v>
      </c>
      <c r="J56" t="str">
        <f t="shared" si="2"/>
        <v>Completed</v>
      </c>
      <c r="K56" s="10" t="str">
        <f t="shared" si="5"/>
        <v>MGQ-NBO</v>
      </c>
      <c r="L56" s="10" t="str">
        <f t="shared" si="6"/>
        <v>ABK00059</v>
      </c>
    </row>
    <row r="57" spans="1:12">
      <c r="A57" t="s">
        <v>112</v>
      </c>
      <c r="B57" s="5">
        <v>46003</v>
      </c>
      <c r="C57" t="s">
        <v>32</v>
      </c>
      <c r="D57" t="s">
        <v>9</v>
      </c>
      <c r="E57" t="s">
        <v>10</v>
      </c>
      <c r="F57" s="7">
        <v>123.39</v>
      </c>
      <c r="G57" t="s">
        <v>14</v>
      </c>
      <c r="H57" t="str">
        <f t="shared" si="0"/>
        <v>Adult</v>
      </c>
      <c r="I57" t="str">
        <f t="shared" si="1"/>
        <v>Economy</v>
      </c>
      <c r="J57" t="str">
        <f t="shared" si="2"/>
        <v>Completed</v>
      </c>
      <c r="K57" s="10" t="str">
        <f t="shared" si="5"/>
        <v>MGQ-BSA</v>
      </c>
      <c r="L57" s="10" t="str">
        <f t="shared" si="6"/>
        <v>ABK00060</v>
      </c>
    </row>
    <row r="58" spans="1:12">
      <c r="A58" t="s">
        <v>242</v>
      </c>
      <c r="B58" s="5">
        <v>46122</v>
      </c>
      <c r="C58" t="s">
        <v>32</v>
      </c>
      <c r="D58" t="s">
        <v>9</v>
      </c>
      <c r="E58" t="s">
        <v>84</v>
      </c>
      <c r="F58" s="7">
        <v>131.86000000000001</v>
      </c>
      <c r="G58" t="s">
        <v>14</v>
      </c>
      <c r="H58" t="str">
        <f t="shared" si="0"/>
        <v>Adult</v>
      </c>
      <c r="I58" t="str">
        <f t="shared" si="1"/>
        <v>Unknown</v>
      </c>
      <c r="J58" t="str">
        <f t="shared" si="2"/>
        <v>Completed</v>
      </c>
      <c r="K58" s="10" t="str">
        <f t="shared" si="5"/>
        <v>MGQ-BSA</v>
      </c>
      <c r="L58" s="10" t="str">
        <f t="shared" si="6"/>
        <v>ABK00061</v>
      </c>
    </row>
    <row r="59" spans="1:12">
      <c r="A59" t="s">
        <v>236</v>
      </c>
      <c r="B59" s="5">
        <v>46076</v>
      </c>
      <c r="C59" t="s">
        <v>13</v>
      </c>
      <c r="D59" t="s">
        <v>9</v>
      </c>
      <c r="E59" t="s">
        <v>10</v>
      </c>
      <c r="F59" s="7">
        <v>276.32</v>
      </c>
      <c r="G59" t="s">
        <v>11</v>
      </c>
      <c r="H59" t="str">
        <f t="shared" si="0"/>
        <v>Adult</v>
      </c>
      <c r="I59" t="str">
        <f t="shared" si="1"/>
        <v>Economy</v>
      </c>
      <c r="J59" t="str">
        <f t="shared" si="2"/>
        <v>Confirmed</v>
      </c>
      <c r="K59" s="10" t="str">
        <f t="shared" si="5"/>
        <v>MGQ-ADD</v>
      </c>
      <c r="L59" s="10" t="str">
        <f t="shared" si="6"/>
        <v>ABK00062</v>
      </c>
    </row>
    <row r="60" spans="1:12">
      <c r="A60" t="s">
        <v>107</v>
      </c>
      <c r="B60" s="5">
        <v>45661</v>
      </c>
      <c r="C60" t="s">
        <v>8</v>
      </c>
      <c r="D60" t="s">
        <v>9</v>
      </c>
      <c r="E60" t="s">
        <v>33</v>
      </c>
      <c r="F60" s="7">
        <v>161.69</v>
      </c>
      <c r="G60" t="s">
        <v>11</v>
      </c>
      <c r="H60" t="str">
        <f t="shared" si="0"/>
        <v>Adult</v>
      </c>
      <c r="I60" t="str">
        <f t="shared" si="1"/>
        <v>Business</v>
      </c>
      <c r="J60" t="str">
        <f t="shared" si="2"/>
        <v>Confirmed</v>
      </c>
      <c r="K60" s="10" t="str">
        <f t="shared" si="5"/>
        <v>MGQ-HGA</v>
      </c>
      <c r="L60" s="10" t="str">
        <f t="shared" si="6"/>
        <v>ABK00063</v>
      </c>
    </row>
    <row r="61" spans="1:12">
      <c r="A61" t="s">
        <v>99</v>
      </c>
      <c r="B61" s="5">
        <v>46002</v>
      </c>
      <c r="C61" t="s">
        <v>84</v>
      </c>
      <c r="D61" t="s">
        <v>16</v>
      </c>
      <c r="E61" t="s">
        <v>10</v>
      </c>
      <c r="F61" s="7">
        <v>126.41</v>
      </c>
      <c r="G61" t="s">
        <v>14</v>
      </c>
      <c r="H61" t="str">
        <f t="shared" si="0"/>
        <v>Child</v>
      </c>
      <c r="I61" t="str">
        <f t="shared" si="1"/>
        <v>Economy</v>
      </c>
      <c r="J61" t="str">
        <f t="shared" si="2"/>
        <v>Completed</v>
      </c>
      <c r="K61" s="10" t="str">
        <f t="shared" si="5"/>
        <v>UNKNOWN</v>
      </c>
      <c r="L61" s="10" t="str">
        <f t="shared" si="6"/>
        <v>ABK00064</v>
      </c>
    </row>
    <row r="62" spans="1:12">
      <c r="A62" t="s">
        <v>174</v>
      </c>
      <c r="B62" s="5">
        <v>45703</v>
      </c>
      <c r="C62" t="s">
        <v>8</v>
      </c>
      <c r="D62" t="s">
        <v>9</v>
      </c>
      <c r="E62" t="s">
        <v>33</v>
      </c>
      <c r="F62" s="7">
        <v>211.49</v>
      </c>
      <c r="G62" t="s">
        <v>14</v>
      </c>
      <c r="H62" t="str">
        <f t="shared" si="0"/>
        <v>Adult</v>
      </c>
      <c r="I62" t="str">
        <f t="shared" si="1"/>
        <v>Business</v>
      </c>
      <c r="J62" t="str">
        <f t="shared" si="2"/>
        <v>Completed</v>
      </c>
      <c r="K62" s="10" t="str">
        <f t="shared" si="5"/>
        <v>MGQ-HGA</v>
      </c>
      <c r="L62" s="10" t="str">
        <f t="shared" si="6"/>
        <v>ABK00065</v>
      </c>
    </row>
    <row r="63" spans="1:12">
      <c r="A63" t="s">
        <v>80</v>
      </c>
      <c r="B63" s="5">
        <v>45935</v>
      </c>
      <c r="C63" t="s">
        <v>18</v>
      </c>
      <c r="D63" t="s">
        <v>9</v>
      </c>
      <c r="E63" t="s">
        <v>33</v>
      </c>
      <c r="F63" s="7">
        <v>199.01</v>
      </c>
      <c r="G63" t="s">
        <v>11</v>
      </c>
      <c r="H63" t="str">
        <f t="shared" si="0"/>
        <v>Adult</v>
      </c>
      <c r="I63" t="str">
        <f t="shared" si="1"/>
        <v>Business</v>
      </c>
      <c r="J63" t="str">
        <f t="shared" si="2"/>
        <v>Confirmed</v>
      </c>
      <c r="K63" s="10" t="str">
        <f t="shared" si="5"/>
        <v>MGQ-NBO</v>
      </c>
      <c r="L63" s="10" t="str">
        <f t="shared" si="6"/>
        <v>ABK00066</v>
      </c>
    </row>
    <row r="64" spans="1:12">
      <c r="A64" t="s">
        <v>251</v>
      </c>
      <c r="B64" s="5">
        <v>46138</v>
      </c>
      <c r="C64" t="s">
        <v>32</v>
      </c>
      <c r="D64" t="s">
        <v>9</v>
      </c>
      <c r="E64" t="s">
        <v>10</v>
      </c>
      <c r="F64" s="7">
        <v>131.63</v>
      </c>
      <c r="G64" t="s">
        <v>11</v>
      </c>
      <c r="H64" t="str">
        <f t="shared" si="0"/>
        <v>Adult</v>
      </c>
      <c r="I64" t="str">
        <f t="shared" si="1"/>
        <v>Economy</v>
      </c>
      <c r="J64" t="str">
        <f t="shared" si="2"/>
        <v>Confirmed</v>
      </c>
      <c r="K64" s="10" t="str">
        <f t="shared" si="5"/>
        <v>MGQ-BSA</v>
      </c>
      <c r="L64" s="10" t="str">
        <f t="shared" si="6"/>
        <v>ABK00067</v>
      </c>
    </row>
    <row r="65" spans="1:12">
      <c r="A65" t="s">
        <v>179</v>
      </c>
      <c r="B65" s="5">
        <v>46107</v>
      </c>
      <c r="C65" t="s">
        <v>18</v>
      </c>
      <c r="D65" t="s">
        <v>16</v>
      </c>
      <c r="E65" t="s">
        <v>10</v>
      </c>
      <c r="F65" s="7">
        <v>200.6</v>
      </c>
      <c r="G65" t="s">
        <v>11</v>
      </c>
      <c r="H65" t="str">
        <f t="shared" si="0"/>
        <v>Child</v>
      </c>
      <c r="I65" t="str">
        <f t="shared" si="1"/>
        <v>Economy</v>
      </c>
      <c r="J65" t="str">
        <f t="shared" si="2"/>
        <v>Confirmed</v>
      </c>
      <c r="K65" s="10" t="str">
        <f t="shared" si="5"/>
        <v>MGQ-NBO</v>
      </c>
      <c r="L65" s="10" t="str">
        <f t="shared" si="6"/>
        <v>ABK00068</v>
      </c>
    </row>
    <row r="66" spans="1:12">
      <c r="A66" t="s">
        <v>85</v>
      </c>
      <c r="B66" s="5">
        <v>45837</v>
      </c>
      <c r="C66" t="s">
        <v>13</v>
      </c>
      <c r="D66" t="s">
        <v>9</v>
      </c>
      <c r="E66" t="s">
        <v>10</v>
      </c>
      <c r="F66" s="7">
        <v>277.07</v>
      </c>
      <c r="G66" t="s">
        <v>14</v>
      </c>
      <c r="H66" t="str">
        <f t="shared" ref="H66:H129" si="7">PROPER(D66)</f>
        <v>Adult</v>
      </c>
      <c r="I66" t="str">
        <f t="shared" ref="I66:I129" si="8">PROPER(E66)</f>
        <v>Economy</v>
      </c>
      <c r="J66" t="str">
        <f t="shared" ref="J66:J129" si="9">PROPER(G66)</f>
        <v>Completed</v>
      </c>
      <c r="K66" s="10" t="str">
        <f t="shared" si="5"/>
        <v>MGQ-ADD</v>
      </c>
      <c r="L66" s="10" t="str">
        <f t="shared" si="6"/>
        <v>ABK00069</v>
      </c>
    </row>
    <row r="67" spans="1:12">
      <c r="A67" t="s">
        <v>39</v>
      </c>
      <c r="B67" s="5">
        <v>45996</v>
      </c>
      <c r="C67" t="s">
        <v>13</v>
      </c>
      <c r="D67" t="s">
        <v>22</v>
      </c>
      <c r="E67" t="s">
        <v>10</v>
      </c>
      <c r="F67" s="7">
        <v>287.12</v>
      </c>
      <c r="G67" t="s">
        <v>11</v>
      </c>
      <c r="H67" t="str">
        <f t="shared" si="7"/>
        <v>Senior</v>
      </c>
      <c r="I67" t="str">
        <f t="shared" si="8"/>
        <v>Economy</v>
      </c>
      <c r="J67" t="str">
        <f t="shared" si="9"/>
        <v>Confirmed</v>
      </c>
      <c r="K67" s="10" t="str">
        <f t="shared" ref="K67:K130" si="10">UPPER(C67:C357)</f>
        <v>MGQ-ADD</v>
      </c>
      <c r="L67" s="10" t="str">
        <f t="shared" ref="L67:L130" si="11">TRIM(A67:A357)</f>
        <v>ABK00070</v>
      </c>
    </row>
    <row r="68" spans="1:12">
      <c r="A68" t="s">
        <v>252</v>
      </c>
      <c r="B68" s="5">
        <v>45692</v>
      </c>
      <c r="C68" t="s">
        <v>18</v>
      </c>
      <c r="D68" t="s">
        <v>16</v>
      </c>
      <c r="E68" t="s">
        <v>10</v>
      </c>
      <c r="F68" s="7">
        <v>243.52</v>
      </c>
      <c r="G68" t="s">
        <v>14</v>
      </c>
      <c r="H68" t="str">
        <f t="shared" si="7"/>
        <v>Child</v>
      </c>
      <c r="I68" t="str">
        <f t="shared" si="8"/>
        <v>Economy</v>
      </c>
      <c r="J68" t="str">
        <f t="shared" si="9"/>
        <v>Completed</v>
      </c>
      <c r="K68" s="10" t="str">
        <f t="shared" si="10"/>
        <v>MGQ-NBO</v>
      </c>
      <c r="L68" s="10" t="str">
        <f t="shared" si="11"/>
        <v>ABK00071</v>
      </c>
    </row>
    <row r="69" spans="1:12">
      <c r="A69" t="s">
        <v>303</v>
      </c>
      <c r="B69" s="5">
        <v>45906</v>
      </c>
      <c r="C69" t="s">
        <v>13</v>
      </c>
      <c r="D69" t="s">
        <v>22</v>
      </c>
      <c r="E69" t="s">
        <v>10</v>
      </c>
      <c r="F69" s="7">
        <v>228.74</v>
      </c>
      <c r="G69" t="s">
        <v>11</v>
      </c>
      <c r="H69" t="str">
        <f t="shared" si="7"/>
        <v>Senior</v>
      </c>
      <c r="I69" t="str">
        <f t="shared" si="8"/>
        <v>Economy</v>
      </c>
      <c r="J69" t="str">
        <f t="shared" si="9"/>
        <v>Confirmed</v>
      </c>
      <c r="K69" s="10" t="str">
        <f t="shared" si="10"/>
        <v>MGQ-ADD</v>
      </c>
      <c r="L69" s="10" t="str">
        <f t="shared" si="11"/>
        <v>ABK00072</v>
      </c>
    </row>
    <row r="70" spans="1:12">
      <c r="A70" t="s">
        <v>147</v>
      </c>
      <c r="B70" s="5">
        <v>45958</v>
      </c>
      <c r="C70" t="s">
        <v>13</v>
      </c>
      <c r="D70" t="s">
        <v>84</v>
      </c>
      <c r="E70" t="s">
        <v>10</v>
      </c>
      <c r="F70" s="7">
        <v>281.52999999999997</v>
      </c>
      <c r="G70" t="s">
        <v>14</v>
      </c>
      <c r="H70" t="str">
        <f t="shared" si="7"/>
        <v>Unknown</v>
      </c>
      <c r="I70" t="str">
        <f t="shared" si="8"/>
        <v>Economy</v>
      </c>
      <c r="J70" t="str">
        <f t="shared" si="9"/>
        <v>Completed</v>
      </c>
      <c r="K70" s="10" t="str">
        <f t="shared" si="10"/>
        <v>MGQ-ADD</v>
      </c>
      <c r="L70" s="10" t="str">
        <f t="shared" si="11"/>
        <v>ABK00073</v>
      </c>
    </row>
    <row r="71" spans="1:12">
      <c r="A71" t="s">
        <v>138</v>
      </c>
      <c r="B71" s="5">
        <v>45724</v>
      </c>
      <c r="C71" t="s">
        <v>13</v>
      </c>
      <c r="D71" t="s">
        <v>9</v>
      </c>
      <c r="E71" t="s">
        <v>33</v>
      </c>
      <c r="F71" s="7">
        <v>445.87</v>
      </c>
      <c r="G71" t="s">
        <v>46</v>
      </c>
      <c r="H71" t="str">
        <f t="shared" si="7"/>
        <v>Adult</v>
      </c>
      <c r="I71" t="str">
        <f t="shared" si="8"/>
        <v>Business</v>
      </c>
      <c r="J71" t="str">
        <f t="shared" si="9"/>
        <v>Cancelled</v>
      </c>
      <c r="K71" s="10" t="str">
        <f t="shared" si="10"/>
        <v>MGQ-ADD</v>
      </c>
      <c r="L71" s="10" t="str">
        <f t="shared" si="11"/>
        <v>ABK00074</v>
      </c>
    </row>
    <row r="72" spans="1:12">
      <c r="A72" t="s">
        <v>36</v>
      </c>
      <c r="B72" s="5">
        <v>46206</v>
      </c>
      <c r="C72" t="s">
        <v>8</v>
      </c>
      <c r="D72" t="s">
        <v>9</v>
      </c>
      <c r="E72" t="s">
        <v>84</v>
      </c>
      <c r="F72" s="7">
        <v>95.2</v>
      </c>
      <c r="G72" t="s">
        <v>14</v>
      </c>
      <c r="H72" t="str">
        <f t="shared" si="7"/>
        <v>Adult</v>
      </c>
      <c r="I72" t="str">
        <f t="shared" si="8"/>
        <v>Unknown</v>
      </c>
      <c r="J72" t="str">
        <f t="shared" si="9"/>
        <v>Completed</v>
      </c>
      <c r="K72" s="10" t="str">
        <f t="shared" si="10"/>
        <v>MGQ-HGA</v>
      </c>
      <c r="L72" s="10" t="str">
        <f t="shared" si="11"/>
        <v>ABK00075</v>
      </c>
    </row>
    <row r="73" spans="1:12">
      <c r="A73" t="s">
        <v>42</v>
      </c>
      <c r="B73" s="5">
        <v>46138</v>
      </c>
      <c r="C73" t="s">
        <v>18</v>
      </c>
      <c r="D73" t="s">
        <v>16</v>
      </c>
      <c r="E73" t="s">
        <v>10</v>
      </c>
      <c r="F73" s="7">
        <v>188.64</v>
      </c>
      <c r="G73" t="s">
        <v>11</v>
      </c>
      <c r="H73" t="str">
        <f t="shared" si="7"/>
        <v>Child</v>
      </c>
      <c r="I73" t="str">
        <f t="shared" si="8"/>
        <v>Economy</v>
      </c>
      <c r="J73" t="str">
        <f t="shared" si="9"/>
        <v>Confirmed</v>
      </c>
      <c r="K73" s="10" t="str">
        <f t="shared" si="10"/>
        <v>MGQ-NBO</v>
      </c>
      <c r="L73" s="10" t="str">
        <f t="shared" si="11"/>
        <v>ABK00076</v>
      </c>
    </row>
    <row r="74" spans="1:12">
      <c r="A74" t="s">
        <v>158</v>
      </c>
      <c r="B74" s="5">
        <v>45754</v>
      </c>
      <c r="C74" t="s">
        <v>18</v>
      </c>
      <c r="D74" t="s">
        <v>9</v>
      </c>
      <c r="E74" t="s">
        <v>10</v>
      </c>
      <c r="F74" s="7">
        <v>210.03</v>
      </c>
      <c r="G74" t="s">
        <v>14</v>
      </c>
      <c r="H74" t="str">
        <f t="shared" si="7"/>
        <v>Adult</v>
      </c>
      <c r="I74" t="str">
        <f t="shared" si="8"/>
        <v>Economy</v>
      </c>
      <c r="J74" t="str">
        <f t="shared" si="9"/>
        <v>Completed</v>
      </c>
      <c r="K74" s="10" t="str">
        <f t="shared" si="10"/>
        <v>MGQ-NBO</v>
      </c>
      <c r="L74" s="10" t="str">
        <f t="shared" si="11"/>
        <v>ABK00077</v>
      </c>
    </row>
    <row r="75" spans="1:12">
      <c r="A75" t="s">
        <v>248</v>
      </c>
      <c r="B75" s="5">
        <v>45713</v>
      </c>
      <c r="C75" t="s">
        <v>84</v>
      </c>
      <c r="D75" t="s">
        <v>9</v>
      </c>
      <c r="E75" t="s">
        <v>33</v>
      </c>
      <c r="F75" s="7">
        <v>189.4</v>
      </c>
      <c r="G75" t="s">
        <v>14</v>
      </c>
      <c r="H75" t="str">
        <f t="shared" si="7"/>
        <v>Adult</v>
      </c>
      <c r="I75" t="str">
        <f t="shared" si="8"/>
        <v>Business</v>
      </c>
      <c r="J75" t="str">
        <f t="shared" si="9"/>
        <v>Completed</v>
      </c>
      <c r="K75" s="10" t="str">
        <f t="shared" si="10"/>
        <v>UNKNOWN</v>
      </c>
      <c r="L75" s="10" t="str">
        <f t="shared" si="11"/>
        <v>ABK00078</v>
      </c>
    </row>
    <row r="76" spans="1:12">
      <c r="A76" t="s">
        <v>141</v>
      </c>
      <c r="B76" s="5">
        <v>45856</v>
      </c>
      <c r="C76" t="s">
        <v>24</v>
      </c>
      <c r="D76" t="s">
        <v>9</v>
      </c>
      <c r="E76" t="s">
        <v>10</v>
      </c>
      <c r="F76" s="7">
        <v>99.46</v>
      </c>
      <c r="G76" t="s">
        <v>14</v>
      </c>
      <c r="H76" t="str">
        <f t="shared" si="7"/>
        <v>Adult</v>
      </c>
      <c r="I76" t="str">
        <f t="shared" si="8"/>
        <v>Economy</v>
      </c>
      <c r="J76" t="str">
        <f t="shared" si="9"/>
        <v>Completed</v>
      </c>
      <c r="K76" s="10" t="str">
        <f t="shared" si="10"/>
        <v>MGQ-KMU</v>
      </c>
      <c r="L76" s="10" t="str">
        <f t="shared" si="11"/>
        <v>ABK00079</v>
      </c>
    </row>
    <row r="77" spans="1:12">
      <c r="A77" t="s">
        <v>25</v>
      </c>
      <c r="B77" s="5">
        <v>45963</v>
      </c>
      <c r="C77" t="s">
        <v>18</v>
      </c>
      <c r="D77" t="s">
        <v>9</v>
      </c>
      <c r="E77" t="s">
        <v>10</v>
      </c>
      <c r="F77" s="7">
        <v>251.62</v>
      </c>
      <c r="G77" t="s">
        <v>14</v>
      </c>
      <c r="H77" t="str">
        <f t="shared" si="7"/>
        <v>Adult</v>
      </c>
      <c r="I77" t="str">
        <f t="shared" si="8"/>
        <v>Economy</v>
      </c>
      <c r="J77" t="str">
        <f t="shared" si="9"/>
        <v>Completed</v>
      </c>
      <c r="K77" s="10" t="str">
        <f t="shared" si="10"/>
        <v>MGQ-NBO</v>
      </c>
      <c r="L77" s="10" t="str">
        <f t="shared" si="11"/>
        <v>ABK00080</v>
      </c>
    </row>
    <row r="78" spans="1:12">
      <c r="A78" t="s">
        <v>41</v>
      </c>
      <c r="B78" s="5">
        <v>45755</v>
      </c>
      <c r="C78" t="s">
        <v>8</v>
      </c>
      <c r="D78" t="s">
        <v>22</v>
      </c>
      <c r="E78" t="s">
        <v>10</v>
      </c>
      <c r="F78" s="7">
        <v>89.64</v>
      </c>
      <c r="G78" t="s">
        <v>14</v>
      </c>
      <c r="H78" t="str">
        <f t="shared" si="7"/>
        <v>Senior</v>
      </c>
      <c r="I78" t="str">
        <f t="shared" si="8"/>
        <v>Economy</v>
      </c>
      <c r="J78" t="str">
        <f t="shared" si="9"/>
        <v>Completed</v>
      </c>
      <c r="K78" s="10" t="str">
        <f t="shared" si="10"/>
        <v>MGQ-HGA</v>
      </c>
      <c r="L78" s="10" t="str">
        <f t="shared" si="11"/>
        <v>ABK00081</v>
      </c>
    </row>
    <row r="79" spans="1:12">
      <c r="A79" t="s">
        <v>250</v>
      </c>
      <c r="B79" s="5">
        <v>45825</v>
      </c>
      <c r="C79" t="s">
        <v>18</v>
      </c>
      <c r="D79" t="s">
        <v>9</v>
      </c>
      <c r="E79" t="s">
        <v>10</v>
      </c>
      <c r="F79" s="7">
        <v>202.96</v>
      </c>
      <c r="G79" t="s">
        <v>14</v>
      </c>
      <c r="H79" t="str">
        <f t="shared" si="7"/>
        <v>Adult</v>
      </c>
      <c r="I79" t="str">
        <f t="shared" si="8"/>
        <v>Economy</v>
      </c>
      <c r="J79" t="str">
        <f t="shared" si="9"/>
        <v>Completed</v>
      </c>
      <c r="K79" s="10" t="str">
        <f t="shared" si="10"/>
        <v>MGQ-NBO</v>
      </c>
      <c r="L79" s="10" t="str">
        <f t="shared" si="11"/>
        <v>ABK00082</v>
      </c>
    </row>
    <row r="80" spans="1:12">
      <c r="A80" t="s">
        <v>20</v>
      </c>
      <c r="B80" s="5">
        <v>46047</v>
      </c>
      <c r="C80" t="s">
        <v>18</v>
      </c>
      <c r="D80" t="s">
        <v>9</v>
      </c>
      <c r="E80" t="s">
        <v>10</v>
      </c>
      <c r="F80" s="7">
        <v>194.15</v>
      </c>
      <c r="G80" t="s">
        <v>14</v>
      </c>
      <c r="H80" t="str">
        <f t="shared" si="7"/>
        <v>Adult</v>
      </c>
      <c r="I80" t="str">
        <f t="shared" si="8"/>
        <v>Economy</v>
      </c>
      <c r="J80" t="str">
        <f t="shared" si="9"/>
        <v>Completed</v>
      </c>
      <c r="K80" s="10" t="str">
        <f t="shared" si="10"/>
        <v>MGQ-NBO</v>
      </c>
      <c r="L80" s="10" t="str">
        <f t="shared" si="11"/>
        <v>ABK00083</v>
      </c>
    </row>
    <row r="81" spans="1:12">
      <c r="A81" t="s">
        <v>188</v>
      </c>
      <c r="B81" s="5">
        <v>45992</v>
      </c>
      <c r="C81" t="s">
        <v>8</v>
      </c>
      <c r="D81" t="s">
        <v>9</v>
      </c>
      <c r="E81" t="s">
        <v>10</v>
      </c>
      <c r="F81" s="7">
        <v>100.76</v>
      </c>
      <c r="G81" t="s">
        <v>14</v>
      </c>
      <c r="H81" t="str">
        <f t="shared" si="7"/>
        <v>Adult</v>
      </c>
      <c r="I81" t="str">
        <f t="shared" si="8"/>
        <v>Economy</v>
      </c>
      <c r="J81" t="str">
        <f t="shared" si="9"/>
        <v>Completed</v>
      </c>
      <c r="K81" s="10" t="str">
        <f t="shared" si="10"/>
        <v>MGQ-HGA</v>
      </c>
      <c r="L81" s="10" t="str">
        <f t="shared" si="11"/>
        <v>ABK00084</v>
      </c>
    </row>
    <row r="82" spans="1:12">
      <c r="A82" t="s">
        <v>287</v>
      </c>
      <c r="B82" s="5">
        <v>45923</v>
      </c>
      <c r="C82" t="s">
        <v>32</v>
      </c>
      <c r="D82" t="s">
        <v>9</v>
      </c>
      <c r="E82" t="s">
        <v>10</v>
      </c>
      <c r="F82" s="7">
        <v>108.69</v>
      </c>
      <c r="G82" t="s">
        <v>11</v>
      </c>
      <c r="H82" t="str">
        <f t="shared" si="7"/>
        <v>Adult</v>
      </c>
      <c r="I82" t="str">
        <f t="shared" si="8"/>
        <v>Economy</v>
      </c>
      <c r="J82" t="str">
        <f t="shared" si="9"/>
        <v>Confirmed</v>
      </c>
      <c r="K82" s="10" t="str">
        <f t="shared" si="10"/>
        <v>MGQ-BSA</v>
      </c>
      <c r="L82" s="10" t="str">
        <f t="shared" si="11"/>
        <v>ABK00085</v>
      </c>
    </row>
    <row r="83" spans="1:12">
      <c r="A83" t="s">
        <v>228</v>
      </c>
      <c r="B83" s="5">
        <v>45940</v>
      </c>
      <c r="C83" t="s">
        <v>24</v>
      </c>
      <c r="D83" t="s">
        <v>16</v>
      </c>
      <c r="E83" t="s">
        <v>10</v>
      </c>
      <c r="F83" s="7">
        <v>106.86</v>
      </c>
      <c r="G83" t="s">
        <v>46</v>
      </c>
      <c r="H83" t="str">
        <f t="shared" si="7"/>
        <v>Child</v>
      </c>
      <c r="I83" t="str">
        <f t="shared" si="8"/>
        <v>Economy</v>
      </c>
      <c r="J83" t="str">
        <f t="shared" si="9"/>
        <v>Cancelled</v>
      </c>
      <c r="K83" s="10" t="str">
        <f t="shared" si="10"/>
        <v>MGQ-KMU</v>
      </c>
      <c r="L83" s="10" t="str">
        <f t="shared" si="11"/>
        <v>ABK00086</v>
      </c>
    </row>
    <row r="84" spans="1:12">
      <c r="A84" t="s">
        <v>86</v>
      </c>
      <c r="B84" s="5">
        <v>46201</v>
      </c>
      <c r="C84" t="s">
        <v>8</v>
      </c>
      <c r="D84" t="s">
        <v>84</v>
      </c>
      <c r="E84" t="s">
        <v>10</v>
      </c>
      <c r="F84" s="7">
        <v>98.84</v>
      </c>
      <c r="G84" t="s">
        <v>11</v>
      </c>
      <c r="H84" t="str">
        <f t="shared" si="7"/>
        <v>Unknown</v>
      </c>
      <c r="I84" t="str">
        <f t="shared" si="8"/>
        <v>Economy</v>
      </c>
      <c r="J84" t="str">
        <f t="shared" si="9"/>
        <v>Confirmed</v>
      </c>
      <c r="K84" s="10" t="str">
        <f t="shared" si="10"/>
        <v>MGQ-HGA</v>
      </c>
      <c r="L84" s="10" t="str">
        <f t="shared" si="11"/>
        <v>ABK00087</v>
      </c>
    </row>
    <row r="85" spans="1:12">
      <c r="A85" t="s">
        <v>189</v>
      </c>
      <c r="B85" s="5">
        <v>45810</v>
      </c>
      <c r="C85" t="s">
        <v>32</v>
      </c>
      <c r="D85" t="s">
        <v>9</v>
      </c>
      <c r="E85" t="s">
        <v>10</v>
      </c>
      <c r="F85" s="7">
        <v>133.66</v>
      </c>
      <c r="G85" t="s">
        <v>14</v>
      </c>
      <c r="H85" t="str">
        <f t="shared" si="7"/>
        <v>Adult</v>
      </c>
      <c r="I85" t="str">
        <f t="shared" si="8"/>
        <v>Economy</v>
      </c>
      <c r="J85" t="str">
        <f t="shared" si="9"/>
        <v>Completed</v>
      </c>
      <c r="K85" s="10" t="str">
        <f t="shared" si="10"/>
        <v>MGQ-BSA</v>
      </c>
      <c r="L85" s="10" t="str">
        <f t="shared" si="11"/>
        <v>ABK00088</v>
      </c>
    </row>
    <row r="86" spans="1:12">
      <c r="A86" t="s">
        <v>114</v>
      </c>
      <c r="B86" s="5">
        <v>45768</v>
      </c>
      <c r="C86" t="s">
        <v>32</v>
      </c>
      <c r="D86" t="s">
        <v>84</v>
      </c>
      <c r="E86" t="s">
        <v>10</v>
      </c>
      <c r="F86" s="7">
        <v>123.37</v>
      </c>
      <c r="G86" t="s">
        <v>14</v>
      </c>
      <c r="H86" t="str">
        <f t="shared" si="7"/>
        <v>Unknown</v>
      </c>
      <c r="I86" t="str">
        <f t="shared" si="8"/>
        <v>Economy</v>
      </c>
      <c r="J86" t="str">
        <f t="shared" si="9"/>
        <v>Completed</v>
      </c>
      <c r="K86" s="10" t="str">
        <f t="shared" si="10"/>
        <v>MGQ-BSA</v>
      </c>
      <c r="L86" s="10" t="str">
        <f t="shared" si="11"/>
        <v>ABK00089</v>
      </c>
    </row>
    <row r="87" spans="1:12">
      <c r="A87" t="s">
        <v>202</v>
      </c>
      <c r="B87" s="5">
        <v>45815</v>
      </c>
      <c r="C87" t="s">
        <v>8</v>
      </c>
      <c r="D87" t="s">
        <v>9</v>
      </c>
      <c r="E87" t="s">
        <v>10</v>
      </c>
      <c r="F87" s="7">
        <v>97.35</v>
      </c>
      <c r="G87" t="s">
        <v>11</v>
      </c>
      <c r="H87" t="str">
        <f t="shared" si="7"/>
        <v>Adult</v>
      </c>
      <c r="I87" t="str">
        <f t="shared" si="8"/>
        <v>Economy</v>
      </c>
      <c r="J87" t="str">
        <f t="shared" si="9"/>
        <v>Confirmed</v>
      </c>
      <c r="K87" s="10" t="str">
        <f t="shared" si="10"/>
        <v>MGQ-HGA</v>
      </c>
      <c r="L87" s="10" t="str">
        <f t="shared" si="11"/>
        <v>ABK00090</v>
      </c>
    </row>
    <row r="88" spans="1:12">
      <c r="A88" t="s">
        <v>160</v>
      </c>
      <c r="B88" s="5">
        <v>45926</v>
      </c>
      <c r="C88" t="s">
        <v>8</v>
      </c>
      <c r="D88" t="s">
        <v>9</v>
      </c>
      <c r="E88" t="s">
        <v>10</v>
      </c>
      <c r="F88" s="7">
        <v>113.95</v>
      </c>
      <c r="G88" t="s">
        <v>14</v>
      </c>
      <c r="H88" t="str">
        <f t="shared" si="7"/>
        <v>Adult</v>
      </c>
      <c r="I88" t="str">
        <f t="shared" si="8"/>
        <v>Economy</v>
      </c>
      <c r="J88" t="str">
        <f t="shared" si="9"/>
        <v>Completed</v>
      </c>
      <c r="K88" s="10" t="str">
        <f t="shared" si="10"/>
        <v>MGQ-HGA</v>
      </c>
      <c r="L88" s="10" t="str">
        <f t="shared" si="11"/>
        <v>ABK00091</v>
      </c>
    </row>
    <row r="89" spans="1:12">
      <c r="A89" t="s">
        <v>288</v>
      </c>
      <c r="B89" s="5">
        <v>45934</v>
      </c>
      <c r="C89" t="s">
        <v>18</v>
      </c>
      <c r="D89" t="s">
        <v>9</v>
      </c>
      <c r="E89" t="s">
        <v>10</v>
      </c>
      <c r="F89" s="7">
        <v>218</v>
      </c>
      <c r="G89" t="s">
        <v>14</v>
      </c>
      <c r="H89" t="str">
        <f t="shared" si="7"/>
        <v>Adult</v>
      </c>
      <c r="I89" t="str">
        <f t="shared" si="8"/>
        <v>Economy</v>
      </c>
      <c r="J89" t="str">
        <f t="shared" si="9"/>
        <v>Completed</v>
      </c>
      <c r="K89" s="10" t="str">
        <f t="shared" si="10"/>
        <v>MGQ-NBO</v>
      </c>
      <c r="L89" s="10" t="str">
        <f t="shared" si="11"/>
        <v>ABK00093</v>
      </c>
    </row>
    <row r="90" spans="1:12">
      <c r="A90" t="s">
        <v>212</v>
      </c>
      <c r="B90" s="5">
        <v>45661</v>
      </c>
      <c r="C90" t="s">
        <v>18</v>
      </c>
      <c r="D90" t="s">
        <v>9</v>
      </c>
      <c r="E90" t="s">
        <v>10</v>
      </c>
      <c r="F90" s="7">
        <v>195.07</v>
      </c>
      <c r="G90" t="s">
        <v>11</v>
      </c>
      <c r="H90" t="str">
        <f t="shared" si="7"/>
        <v>Adult</v>
      </c>
      <c r="I90" t="str">
        <f t="shared" si="8"/>
        <v>Economy</v>
      </c>
      <c r="J90" t="str">
        <f t="shared" si="9"/>
        <v>Confirmed</v>
      </c>
      <c r="K90" s="10" t="str">
        <f t="shared" si="10"/>
        <v>MGQ-NBO</v>
      </c>
      <c r="L90" s="10" t="str">
        <f t="shared" si="11"/>
        <v>ABK00094</v>
      </c>
    </row>
    <row r="91" spans="1:12">
      <c r="A91" t="s">
        <v>211</v>
      </c>
      <c r="B91" s="5">
        <v>46021</v>
      </c>
      <c r="C91" t="s">
        <v>24</v>
      </c>
      <c r="D91" t="s">
        <v>9</v>
      </c>
      <c r="E91" t="s">
        <v>33</v>
      </c>
      <c r="F91" s="7">
        <v>190.51</v>
      </c>
      <c r="G91" t="s">
        <v>46</v>
      </c>
      <c r="H91" t="str">
        <f t="shared" si="7"/>
        <v>Adult</v>
      </c>
      <c r="I91" t="str">
        <f t="shared" si="8"/>
        <v>Business</v>
      </c>
      <c r="J91" t="str">
        <f t="shared" si="9"/>
        <v>Cancelled</v>
      </c>
      <c r="K91" s="10" t="str">
        <f t="shared" si="10"/>
        <v>MGQ-KMU</v>
      </c>
      <c r="L91" s="10" t="str">
        <f t="shared" si="11"/>
        <v>ABK00095</v>
      </c>
    </row>
    <row r="92" spans="1:12">
      <c r="A92" t="s">
        <v>235</v>
      </c>
      <c r="B92" s="5">
        <v>46117</v>
      </c>
      <c r="C92" t="s">
        <v>8</v>
      </c>
      <c r="D92" t="s">
        <v>9</v>
      </c>
      <c r="E92" t="s">
        <v>33</v>
      </c>
      <c r="F92" s="7">
        <v>177.95</v>
      </c>
      <c r="G92" t="s">
        <v>46</v>
      </c>
      <c r="H92" t="str">
        <f t="shared" si="7"/>
        <v>Adult</v>
      </c>
      <c r="I92" t="str">
        <f t="shared" si="8"/>
        <v>Business</v>
      </c>
      <c r="J92" t="str">
        <f t="shared" si="9"/>
        <v>Cancelled</v>
      </c>
      <c r="K92" s="10" t="str">
        <f t="shared" si="10"/>
        <v>MGQ-HGA</v>
      </c>
      <c r="L92" s="10" t="str">
        <f t="shared" si="11"/>
        <v>ABK00096</v>
      </c>
    </row>
    <row r="93" spans="1:12">
      <c r="A93" t="s">
        <v>200</v>
      </c>
      <c r="B93" s="5">
        <v>45915</v>
      </c>
      <c r="C93" t="s">
        <v>8</v>
      </c>
      <c r="D93" t="s">
        <v>22</v>
      </c>
      <c r="E93" t="s">
        <v>10</v>
      </c>
      <c r="F93" s="7">
        <v>101.68</v>
      </c>
      <c r="G93" t="s">
        <v>14</v>
      </c>
      <c r="H93" t="str">
        <f t="shared" si="7"/>
        <v>Senior</v>
      </c>
      <c r="I93" t="str">
        <f t="shared" si="8"/>
        <v>Economy</v>
      </c>
      <c r="J93" t="str">
        <f t="shared" si="9"/>
        <v>Completed</v>
      </c>
      <c r="K93" s="10" t="str">
        <f t="shared" si="10"/>
        <v>MGQ-HGA</v>
      </c>
      <c r="L93" s="10" t="str">
        <f t="shared" si="11"/>
        <v>ABK00097</v>
      </c>
    </row>
    <row r="94" spans="1:12">
      <c r="A94" t="s">
        <v>257</v>
      </c>
      <c r="B94" s="5">
        <v>45891</v>
      </c>
      <c r="C94" t="s">
        <v>32</v>
      </c>
      <c r="D94" t="s">
        <v>9</v>
      </c>
      <c r="E94" t="s">
        <v>10</v>
      </c>
      <c r="F94" s="7">
        <v>132.96</v>
      </c>
      <c r="G94" t="s">
        <v>46</v>
      </c>
      <c r="H94" t="str">
        <f t="shared" si="7"/>
        <v>Adult</v>
      </c>
      <c r="I94" t="str">
        <f t="shared" si="8"/>
        <v>Economy</v>
      </c>
      <c r="J94" t="str">
        <f t="shared" si="9"/>
        <v>Cancelled</v>
      </c>
      <c r="K94" s="10" t="str">
        <f t="shared" si="10"/>
        <v>MGQ-BSA</v>
      </c>
      <c r="L94" s="10" t="str">
        <f t="shared" si="11"/>
        <v>ABK00098</v>
      </c>
    </row>
    <row r="95" spans="1:12">
      <c r="A95" t="s">
        <v>299</v>
      </c>
      <c r="B95" s="5">
        <v>45759</v>
      </c>
      <c r="C95" t="s">
        <v>18</v>
      </c>
      <c r="D95" t="s">
        <v>9</v>
      </c>
      <c r="E95" t="s">
        <v>10</v>
      </c>
      <c r="F95" s="7">
        <v>199.01</v>
      </c>
      <c r="G95" t="s">
        <v>14</v>
      </c>
      <c r="H95" t="str">
        <f t="shared" si="7"/>
        <v>Adult</v>
      </c>
      <c r="I95" t="str">
        <f t="shared" si="8"/>
        <v>Economy</v>
      </c>
      <c r="J95" t="str">
        <f t="shared" si="9"/>
        <v>Completed</v>
      </c>
      <c r="K95" s="10" t="str">
        <f t="shared" si="10"/>
        <v>MGQ-NBO</v>
      </c>
      <c r="L95" s="10" t="str">
        <f t="shared" si="11"/>
        <v>ABK00099</v>
      </c>
    </row>
    <row r="96" spans="1:12">
      <c r="A96" t="s">
        <v>284</v>
      </c>
      <c r="B96" s="5">
        <v>46172</v>
      </c>
      <c r="C96" t="s">
        <v>18</v>
      </c>
      <c r="D96" t="s">
        <v>16</v>
      </c>
      <c r="E96" t="s">
        <v>10</v>
      </c>
      <c r="F96" s="7">
        <v>227.4</v>
      </c>
      <c r="G96" t="s">
        <v>11</v>
      </c>
      <c r="H96" t="str">
        <f t="shared" si="7"/>
        <v>Child</v>
      </c>
      <c r="I96" t="str">
        <f t="shared" si="8"/>
        <v>Economy</v>
      </c>
      <c r="J96" t="str">
        <f t="shared" si="9"/>
        <v>Confirmed</v>
      </c>
      <c r="K96" s="10" t="str">
        <f t="shared" si="10"/>
        <v>MGQ-NBO</v>
      </c>
      <c r="L96" s="10" t="str">
        <f t="shared" si="11"/>
        <v>ABK00100</v>
      </c>
    </row>
    <row r="97" spans="1:12">
      <c r="A97" t="s">
        <v>218</v>
      </c>
      <c r="B97" s="5">
        <v>45868</v>
      </c>
      <c r="C97" t="s">
        <v>32</v>
      </c>
      <c r="D97" t="s">
        <v>9</v>
      </c>
      <c r="E97" t="s">
        <v>10</v>
      </c>
      <c r="F97" s="7">
        <v>121.12</v>
      </c>
      <c r="G97" t="s">
        <v>14</v>
      </c>
      <c r="H97" t="str">
        <f t="shared" si="7"/>
        <v>Adult</v>
      </c>
      <c r="I97" t="str">
        <f t="shared" si="8"/>
        <v>Economy</v>
      </c>
      <c r="J97" t="str">
        <f t="shared" si="9"/>
        <v>Completed</v>
      </c>
      <c r="K97" s="10" t="str">
        <f t="shared" si="10"/>
        <v>MGQ-BSA</v>
      </c>
      <c r="L97" s="10" t="str">
        <f t="shared" si="11"/>
        <v>ABK00101</v>
      </c>
    </row>
    <row r="98" spans="1:12">
      <c r="A98" t="s">
        <v>122</v>
      </c>
      <c r="B98" s="5">
        <v>45734</v>
      </c>
      <c r="C98" t="s">
        <v>84</v>
      </c>
      <c r="D98" t="s">
        <v>9</v>
      </c>
      <c r="E98" t="s">
        <v>10</v>
      </c>
      <c r="F98" s="7">
        <v>85.04</v>
      </c>
      <c r="G98" t="s">
        <v>11</v>
      </c>
      <c r="H98" t="str">
        <f t="shared" si="7"/>
        <v>Adult</v>
      </c>
      <c r="I98" t="str">
        <f t="shared" si="8"/>
        <v>Economy</v>
      </c>
      <c r="J98" t="str">
        <f t="shared" si="9"/>
        <v>Confirmed</v>
      </c>
      <c r="K98" s="10" t="str">
        <f t="shared" si="10"/>
        <v>UNKNOWN</v>
      </c>
      <c r="L98" s="10" t="str">
        <f t="shared" si="11"/>
        <v>ABK00102</v>
      </c>
    </row>
    <row r="99" spans="1:12">
      <c r="A99" t="s">
        <v>44</v>
      </c>
      <c r="B99" s="5">
        <v>45818</v>
      </c>
      <c r="C99" t="s">
        <v>24</v>
      </c>
      <c r="D99" t="s">
        <v>9</v>
      </c>
      <c r="E99" t="s">
        <v>10</v>
      </c>
      <c r="F99" s="7">
        <v>199.01</v>
      </c>
      <c r="G99" t="s">
        <v>11</v>
      </c>
      <c r="H99" t="str">
        <f t="shared" si="7"/>
        <v>Adult</v>
      </c>
      <c r="I99" t="str">
        <f t="shared" si="8"/>
        <v>Economy</v>
      </c>
      <c r="J99" t="str">
        <f t="shared" si="9"/>
        <v>Confirmed</v>
      </c>
      <c r="K99" s="10" t="str">
        <f t="shared" si="10"/>
        <v>MGQ-KMU</v>
      </c>
      <c r="L99" s="10" t="str">
        <f t="shared" si="11"/>
        <v>ABK00103</v>
      </c>
    </row>
    <row r="100" spans="1:12">
      <c r="A100" t="s">
        <v>285</v>
      </c>
      <c r="B100" s="5">
        <v>46046</v>
      </c>
      <c r="C100" t="s">
        <v>13</v>
      </c>
      <c r="D100" t="s">
        <v>9</v>
      </c>
      <c r="E100" t="s">
        <v>10</v>
      </c>
      <c r="F100" s="7">
        <v>232.11</v>
      </c>
      <c r="G100" t="s">
        <v>11</v>
      </c>
      <c r="H100" t="str">
        <f t="shared" si="7"/>
        <v>Adult</v>
      </c>
      <c r="I100" t="str">
        <f t="shared" si="8"/>
        <v>Economy</v>
      </c>
      <c r="J100" t="str">
        <f t="shared" si="9"/>
        <v>Confirmed</v>
      </c>
      <c r="K100" s="10" t="str">
        <f t="shared" si="10"/>
        <v>MGQ-ADD</v>
      </c>
      <c r="L100" s="10" t="str">
        <f t="shared" si="11"/>
        <v>ABK00104</v>
      </c>
    </row>
    <row r="101" spans="1:12">
      <c r="A101" t="s">
        <v>195</v>
      </c>
      <c r="B101" s="5">
        <v>45773</v>
      </c>
      <c r="C101" t="s">
        <v>13</v>
      </c>
      <c r="D101" t="s">
        <v>9</v>
      </c>
      <c r="E101" t="s">
        <v>10</v>
      </c>
      <c r="F101" s="7">
        <v>232.69</v>
      </c>
      <c r="G101" t="s">
        <v>14</v>
      </c>
      <c r="H101" t="str">
        <f t="shared" si="7"/>
        <v>Adult</v>
      </c>
      <c r="I101" t="str">
        <f t="shared" si="8"/>
        <v>Economy</v>
      </c>
      <c r="J101" t="str">
        <f t="shared" si="9"/>
        <v>Completed</v>
      </c>
      <c r="K101" s="10" t="str">
        <f t="shared" si="10"/>
        <v>MGQ-ADD</v>
      </c>
      <c r="L101" s="10" t="str">
        <f t="shared" si="11"/>
        <v>ABK00105</v>
      </c>
    </row>
    <row r="102" spans="1:12">
      <c r="A102" t="s">
        <v>234</v>
      </c>
      <c r="B102" s="5">
        <v>45832</v>
      </c>
      <c r="C102" t="s">
        <v>8</v>
      </c>
      <c r="D102" t="s">
        <v>9</v>
      </c>
      <c r="E102" t="s">
        <v>10</v>
      </c>
      <c r="F102" s="7">
        <v>102.25</v>
      </c>
      <c r="G102" t="s">
        <v>84</v>
      </c>
      <c r="H102" t="str">
        <f t="shared" si="7"/>
        <v>Adult</v>
      </c>
      <c r="I102" t="str">
        <f t="shared" si="8"/>
        <v>Economy</v>
      </c>
      <c r="J102" t="str">
        <f t="shared" si="9"/>
        <v>Unknown</v>
      </c>
      <c r="K102" s="10" t="str">
        <f t="shared" si="10"/>
        <v>MGQ-HGA</v>
      </c>
      <c r="L102" s="10" t="str">
        <f t="shared" si="11"/>
        <v>ABK00106</v>
      </c>
    </row>
    <row r="103" spans="1:12">
      <c r="A103" t="s">
        <v>161</v>
      </c>
      <c r="B103" s="5">
        <v>45792</v>
      </c>
      <c r="C103" t="s">
        <v>13</v>
      </c>
      <c r="D103" t="s">
        <v>9</v>
      </c>
      <c r="E103" t="s">
        <v>10</v>
      </c>
      <c r="F103" s="7">
        <v>293.93</v>
      </c>
      <c r="G103" t="s">
        <v>14</v>
      </c>
      <c r="H103" t="str">
        <f t="shared" si="7"/>
        <v>Adult</v>
      </c>
      <c r="I103" t="str">
        <f t="shared" si="8"/>
        <v>Economy</v>
      </c>
      <c r="J103" t="str">
        <f t="shared" si="9"/>
        <v>Completed</v>
      </c>
      <c r="K103" s="10" t="str">
        <f t="shared" si="10"/>
        <v>MGQ-ADD</v>
      </c>
      <c r="L103" s="10" t="str">
        <f t="shared" si="11"/>
        <v>ABK00107</v>
      </c>
    </row>
    <row r="104" spans="1:12">
      <c r="A104" t="s">
        <v>266</v>
      </c>
      <c r="B104" s="5">
        <v>46081</v>
      </c>
      <c r="C104" t="s">
        <v>84</v>
      </c>
      <c r="D104" t="s">
        <v>9</v>
      </c>
      <c r="E104" t="s">
        <v>10</v>
      </c>
      <c r="F104" s="7">
        <v>107.62</v>
      </c>
      <c r="G104" t="s">
        <v>14</v>
      </c>
      <c r="H104" t="str">
        <f t="shared" si="7"/>
        <v>Adult</v>
      </c>
      <c r="I104" t="str">
        <f t="shared" si="8"/>
        <v>Economy</v>
      </c>
      <c r="J104" t="str">
        <f t="shared" si="9"/>
        <v>Completed</v>
      </c>
      <c r="K104" s="10" t="str">
        <f t="shared" si="10"/>
        <v>UNKNOWN</v>
      </c>
      <c r="L104" s="10" t="str">
        <f t="shared" si="11"/>
        <v>ABK00108</v>
      </c>
    </row>
    <row r="105" spans="1:12">
      <c r="A105" t="s">
        <v>278</v>
      </c>
      <c r="B105" s="5">
        <v>45872</v>
      </c>
      <c r="C105" t="s">
        <v>24</v>
      </c>
      <c r="D105" t="s">
        <v>9</v>
      </c>
      <c r="E105" t="s">
        <v>10</v>
      </c>
      <c r="F105" s="7">
        <v>1018</v>
      </c>
      <c r="G105" t="s">
        <v>11</v>
      </c>
      <c r="H105" t="str">
        <f t="shared" si="7"/>
        <v>Adult</v>
      </c>
      <c r="I105" t="str">
        <f t="shared" si="8"/>
        <v>Economy</v>
      </c>
      <c r="J105" t="str">
        <f t="shared" si="9"/>
        <v>Confirmed</v>
      </c>
      <c r="K105" s="10" t="str">
        <f t="shared" si="10"/>
        <v>MGQ-KMU</v>
      </c>
      <c r="L105" s="10" t="str">
        <f t="shared" si="11"/>
        <v>ABK00109</v>
      </c>
    </row>
    <row r="106" spans="1:12">
      <c r="A106" t="s">
        <v>282</v>
      </c>
      <c r="B106" s="5">
        <v>45891</v>
      </c>
      <c r="C106" t="s">
        <v>32</v>
      </c>
      <c r="D106" t="s">
        <v>9</v>
      </c>
      <c r="E106" t="s">
        <v>10</v>
      </c>
      <c r="F106" s="7">
        <v>129.03</v>
      </c>
      <c r="G106" t="s">
        <v>11</v>
      </c>
      <c r="H106" t="str">
        <f t="shared" si="7"/>
        <v>Adult</v>
      </c>
      <c r="I106" t="str">
        <f t="shared" si="8"/>
        <v>Economy</v>
      </c>
      <c r="J106" t="str">
        <f t="shared" si="9"/>
        <v>Confirmed</v>
      </c>
      <c r="K106" s="10" t="str">
        <f t="shared" si="10"/>
        <v>MGQ-BSA</v>
      </c>
      <c r="L106" s="10" t="str">
        <f t="shared" si="11"/>
        <v>ABK00110</v>
      </c>
    </row>
    <row r="107" spans="1:12">
      <c r="A107" t="s">
        <v>241</v>
      </c>
      <c r="B107" s="5">
        <v>45872</v>
      </c>
      <c r="C107" t="s">
        <v>84</v>
      </c>
      <c r="D107" t="s">
        <v>9</v>
      </c>
      <c r="E107" t="s">
        <v>10</v>
      </c>
      <c r="F107" s="7">
        <v>106.88</v>
      </c>
      <c r="G107" t="s">
        <v>14</v>
      </c>
      <c r="H107" t="str">
        <f t="shared" si="7"/>
        <v>Adult</v>
      </c>
      <c r="I107" t="str">
        <f t="shared" si="8"/>
        <v>Economy</v>
      </c>
      <c r="J107" t="str">
        <f t="shared" si="9"/>
        <v>Completed</v>
      </c>
      <c r="K107" s="10" t="str">
        <f t="shared" si="10"/>
        <v>UNKNOWN</v>
      </c>
      <c r="L107" s="10" t="str">
        <f t="shared" si="11"/>
        <v>ABK00111</v>
      </c>
    </row>
    <row r="108" spans="1:12">
      <c r="A108" t="s">
        <v>109</v>
      </c>
      <c r="B108" s="5">
        <v>45780</v>
      </c>
      <c r="C108" t="s">
        <v>18</v>
      </c>
      <c r="D108" t="s">
        <v>22</v>
      </c>
      <c r="E108" t="s">
        <v>10</v>
      </c>
      <c r="F108" s="7">
        <v>192.68</v>
      </c>
      <c r="G108" t="s">
        <v>14</v>
      </c>
      <c r="H108" t="str">
        <f t="shared" si="7"/>
        <v>Senior</v>
      </c>
      <c r="I108" t="str">
        <f t="shared" si="8"/>
        <v>Economy</v>
      </c>
      <c r="J108" t="str">
        <f t="shared" si="9"/>
        <v>Completed</v>
      </c>
      <c r="K108" s="10" t="str">
        <f t="shared" si="10"/>
        <v>MGQ-NBO</v>
      </c>
      <c r="L108" s="10" t="str">
        <f t="shared" si="11"/>
        <v>ABK00112</v>
      </c>
    </row>
    <row r="109" spans="1:12">
      <c r="A109" t="s">
        <v>139</v>
      </c>
      <c r="B109" s="5">
        <v>45662</v>
      </c>
      <c r="C109" t="s">
        <v>8</v>
      </c>
      <c r="D109" t="s">
        <v>9</v>
      </c>
      <c r="E109" t="s">
        <v>10</v>
      </c>
      <c r="F109" s="7">
        <v>81.23</v>
      </c>
      <c r="G109" t="s">
        <v>84</v>
      </c>
      <c r="H109" t="str">
        <f t="shared" si="7"/>
        <v>Adult</v>
      </c>
      <c r="I109" t="str">
        <f t="shared" si="8"/>
        <v>Economy</v>
      </c>
      <c r="J109" t="str">
        <f t="shared" si="9"/>
        <v>Unknown</v>
      </c>
      <c r="K109" s="10" t="str">
        <f t="shared" si="10"/>
        <v>MGQ-HGA</v>
      </c>
      <c r="L109" s="10" t="str">
        <f t="shared" si="11"/>
        <v>ABK00113</v>
      </c>
    </row>
    <row r="110" spans="1:12">
      <c r="A110" t="s">
        <v>164</v>
      </c>
      <c r="B110" s="5">
        <v>45912</v>
      </c>
      <c r="C110" t="s">
        <v>13</v>
      </c>
      <c r="D110" t="s">
        <v>111</v>
      </c>
      <c r="E110" t="s">
        <v>33</v>
      </c>
      <c r="F110" s="7">
        <v>556.80999999999995</v>
      </c>
      <c r="G110" t="s">
        <v>14</v>
      </c>
      <c r="H110" t="str">
        <f t="shared" si="7"/>
        <v>Adult</v>
      </c>
      <c r="I110" t="str">
        <f t="shared" si="8"/>
        <v>Business</v>
      </c>
      <c r="J110" t="str">
        <f t="shared" si="9"/>
        <v>Completed</v>
      </c>
      <c r="K110" s="10" t="str">
        <f t="shared" si="10"/>
        <v>MGQ-ADD</v>
      </c>
      <c r="L110" s="10" t="str">
        <f t="shared" si="11"/>
        <v>ABK00114</v>
      </c>
    </row>
    <row r="111" spans="1:12">
      <c r="A111" t="s">
        <v>113</v>
      </c>
      <c r="B111" s="5">
        <v>45963</v>
      </c>
      <c r="C111" t="s">
        <v>18</v>
      </c>
      <c r="D111" t="s">
        <v>84</v>
      </c>
      <c r="E111" t="s">
        <v>33</v>
      </c>
      <c r="F111" s="7">
        <v>446.86</v>
      </c>
      <c r="G111" t="s">
        <v>14</v>
      </c>
      <c r="H111" t="str">
        <f t="shared" si="7"/>
        <v>Unknown</v>
      </c>
      <c r="I111" t="str">
        <f t="shared" si="8"/>
        <v>Business</v>
      </c>
      <c r="J111" t="str">
        <f t="shared" si="9"/>
        <v>Completed</v>
      </c>
      <c r="K111" s="10" t="str">
        <f t="shared" si="10"/>
        <v>MGQ-NBO</v>
      </c>
      <c r="L111" s="10" t="str">
        <f t="shared" si="11"/>
        <v>ABK00116</v>
      </c>
    </row>
    <row r="112" spans="1:12">
      <c r="A112" t="s">
        <v>100</v>
      </c>
      <c r="B112" s="5">
        <v>46199</v>
      </c>
      <c r="C112" t="s">
        <v>13</v>
      </c>
      <c r="D112" t="s">
        <v>16</v>
      </c>
      <c r="E112" t="s">
        <v>84</v>
      </c>
      <c r="F112" s="7">
        <v>257.73</v>
      </c>
      <c r="G112" t="s">
        <v>11</v>
      </c>
      <c r="H112" t="str">
        <f t="shared" si="7"/>
        <v>Child</v>
      </c>
      <c r="I112" t="str">
        <f t="shared" si="8"/>
        <v>Unknown</v>
      </c>
      <c r="J112" t="str">
        <f t="shared" si="9"/>
        <v>Confirmed</v>
      </c>
      <c r="K112" s="10" t="str">
        <f t="shared" si="10"/>
        <v>MGQ-ADD</v>
      </c>
      <c r="L112" s="10" t="str">
        <f t="shared" si="11"/>
        <v>ABK00117</v>
      </c>
    </row>
    <row r="113" spans="1:12">
      <c r="A113" t="s">
        <v>194</v>
      </c>
      <c r="B113" s="5">
        <v>45661</v>
      </c>
      <c r="C113" t="s">
        <v>8</v>
      </c>
      <c r="D113" t="s">
        <v>16</v>
      </c>
      <c r="E113" t="s">
        <v>10</v>
      </c>
      <c r="F113" s="7">
        <v>91.64</v>
      </c>
      <c r="G113" t="s">
        <v>14</v>
      </c>
      <c r="H113" t="str">
        <f t="shared" si="7"/>
        <v>Child</v>
      </c>
      <c r="I113" t="str">
        <f t="shared" si="8"/>
        <v>Economy</v>
      </c>
      <c r="J113" t="str">
        <f t="shared" si="9"/>
        <v>Completed</v>
      </c>
      <c r="K113" s="10" t="str">
        <f t="shared" si="10"/>
        <v>MGQ-HGA</v>
      </c>
      <c r="L113" s="10" t="str">
        <f t="shared" si="11"/>
        <v>ABK00118</v>
      </c>
    </row>
    <row r="114" spans="1:12">
      <c r="A114" t="s">
        <v>256</v>
      </c>
      <c r="B114" s="5">
        <v>46043</v>
      </c>
      <c r="C114" t="s">
        <v>13</v>
      </c>
      <c r="D114" t="s">
        <v>16</v>
      </c>
      <c r="E114" t="s">
        <v>10</v>
      </c>
      <c r="F114" s="7">
        <v>234.74</v>
      </c>
      <c r="G114" t="s">
        <v>11</v>
      </c>
      <c r="H114" t="str">
        <f t="shared" si="7"/>
        <v>Child</v>
      </c>
      <c r="I114" t="str">
        <f t="shared" si="8"/>
        <v>Economy</v>
      </c>
      <c r="J114" t="str">
        <f t="shared" si="9"/>
        <v>Confirmed</v>
      </c>
      <c r="K114" s="10" t="str">
        <f t="shared" si="10"/>
        <v>MGQ-ADD</v>
      </c>
      <c r="L114" s="10" t="str">
        <f t="shared" si="11"/>
        <v>ABK00119</v>
      </c>
    </row>
    <row r="115" spans="1:12">
      <c r="A115" t="s">
        <v>226</v>
      </c>
      <c r="B115" s="5">
        <v>46033</v>
      </c>
      <c r="C115" t="s">
        <v>13</v>
      </c>
      <c r="D115" t="s">
        <v>9</v>
      </c>
      <c r="E115" t="s">
        <v>10</v>
      </c>
      <c r="F115" s="7">
        <v>296.62</v>
      </c>
      <c r="G115" t="s">
        <v>14</v>
      </c>
      <c r="H115" t="str">
        <f t="shared" si="7"/>
        <v>Adult</v>
      </c>
      <c r="I115" t="str">
        <f t="shared" si="8"/>
        <v>Economy</v>
      </c>
      <c r="J115" t="str">
        <f t="shared" si="9"/>
        <v>Completed</v>
      </c>
      <c r="K115" s="10" t="str">
        <f t="shared" si="10"/>
        <v>MGQ-ADD</v>
      </c>
      <c r="L115" s="10" t="str">
        <f t="shared" si="11"/>
        <v>ABK00120</v>
      </c>
    </row>
    <row r="116" spans="1:12">
      <c r="A116" t="s">
        <v>60</v>
      </c>
      <c r="B116" s="5">
        <v>45790</v>
      </c>
      <c r="C116" t="s">
        <v>84</v>
      </c>
      <c r="D116" t="s">
        <v>9</v>
      </c>
      <c r="E116" t="s">
        <v>33</v>
      </c>
      <c r="F116" s="7">
        <v>198.94</v>
      </c>
      <c r="G116" t="s">
        <v>46</v>
      </c>
      <c r="H116" t="str">
        <f t="shared" si="7"/>
        <v>Adult</v>
      </c>
      <c r="I116" t="str">
        <f t="shared" si="8"/>
        <v>Business</v>
      </c>
      <c r="J116" t="str">
        <f t="shared" si="9"/>
        <v>Cancelled</v>
      </c>
      <c r="K116" s="10" t="str">
        <f t="shared" si="10"/>
        <v>UNKNOWN</v>
      </c>
      <c r="L116" s="10" t="str">
        <f t="shared" si="11"/>
        <v>ABK00121</v>
      </c>
    </row>
    <row r="117" spans="1:12">
      <c r="A117" t="s">
        <v>7</v>
      </c>
      <c r="B117" s="5">
        <v>45661</v>
      </c>
      <c r="C117" t="s">
        <v>8</v>
      </c>
      <c r="D117" t="s">
        <v>9</v>
      </c>
      <c r="E117" t="s">
        <v>10</v>
      </c>
      <c r="F117" s="7">
        <v>199.01</v>
      </c>
      <c r="G117" t="s">
        <v>11</v>
      </c>
      <c r="H117" t="str">
        <f t="shared" si="7"/>
        <v>Adult</v>
      </c>
      <c r="I117" t="str">
        <f t="shared" si="8"/>
        <v>Economy</v>
      </c>
      <c r="J117" t="str">
        <f t="shared" si="9"/>
        <v>Confirmed</v>
      </c>
      <c r="K117" s="10" t="str">
        <f t="shared" si="10"/>
        <v>MGQ-HGA</v>
      </c>
      <c r="L117" s="10" t="str">
        <f t="shared" si="11"/>
        <v>ABK00122</v>
      </c>
    </row>
    <row r="118" spans="1:12">
      <c r="A118" t="s">
        <v>259</v>
      </c>
      <c r="B118" s="5">
        <v>46190</v>
      </c>
      <c r="C118" t="s">
        <v>32</v>
      </c>
      <c r="D118" t="s">
        <v>9</v>
      </c>
      <c r="E118" t="s">
        <v>10</v>
      </c>
      <c r="F118" s="7">
        <v>118.49</v>
      </c>
      <c r="G118" t="s">
        <v>14</v>
      </c>
      <c r="H118" t="str">
        <f t="shared" si="7"/>
        <v>Adult</v>
      </c>
      <c r="I118" t="str">
        <f t="shared" si="8"/>
        <v>Economy</v>
      </c>
      <c r="J118" t="str">
        <f t="shared" si="9"/>
        <v>Completed</v>
      </c>
      <c r="K118" s="10" t="str">
        <f t="shared" si="10"/>
        <v>MGQ-BSA</v>
      </c>
      <c r="L118" s="10" t="str">
        <f t="shared" si="11"/>
        <v>ABK00123</v>
      </c>
    </row>
    <row r="119" spans="1:12">
      <c r="A119" t="s">
        <v>198</v>
      </c>
      <c r="B119" s="5">
        <v>45800</v>
      </c>
      <c r="C119" t="s">
        <v>18</v>
      </c>
      <c r="D119" t="s">
        <v>9</v>
      </c>
      <c r="E119" t="s">
        <v>33</v>
      </c>
      <c r="F119" s="7">
        <v>380.87</v>
      </c>
      <c r="G119" t="s">
        <v>11</v>
      </c>
      <c r="H119" t="str">
        <f t="shared" si="7"/>
        <v>Adult</v>
      </c>
      <c r="I119" t="str">
        <f t="shared" si="8"/>
        <v>Business</v>
      </c>
      <c r="J119" t="str">
        <f t="shared" si="9"/>
        <v>Confirmed</v>
      </c>
      <c r="K119" s="10" t="str">
        <f t="shared" si="10"/>
        <v>MGQ-NBO</v>
      </c>
      <c r="L119" s="10" t="str">
        <f t="shared" si="11"/>
        <v>ABK00124</v>
      </c>
    </row>
    <row r="120" spans="1:12">
      <c r="A120" t="s">
        <v>191</v>
      </c>
      <c r="B120" s="5">
        <v>45729</v>
      </c>
      <c r="C120" t="s">
        <v>84</v>
      </c>
      <c r="D120" t="s">
        <v>9</v>
      </c>
      <c r="E120" t="s">
        <v>10</v>
      </c>
      <c r="F120" s="7">
        <v>243.15</v>
      </c>
      <c r="G120" t="s">
        <v>14</v>
      </c>
      <c r="H120" t="str">
        <f t="shared" si="7"/>
        <v>Adult</v>
      </c>
      <c r="I120" t="str">
        <f t="shared" si="8"/>
        <v>Economy</v>
      </c>
      <c r="J120" t="str">
        <f t="shared" si="9"/>
        <v>Completed</v>
      </c>
      <c r="K120" s="10" t="str">
        <f t="shared" si="10"/>
        <v>UNKNOWN</v>
      </c>
      <c r="L120" s="10" t="str">
        <f t="shared" si="11"/>
        <v>ABK00125</v>
      </c>
    </row>
    <row r="121" spans="1:12">
      <c r="A121" t="s">
        <v>301</v>
      </c>
      <c r="B121" s="5">
        <v>45947</v>
      </c>
      <c r="C121" t="s">
        <v>18</v>
      </c>
      <c r="D121" t="s">
        <v>9</v>
      </c>
      <c r="E121" t="s">
        <v>33</v>
      </c>
      <c r="F121" s="7">
        <v>419.29</v>
      </c>
      <c r="G121" t="s">
        <v>11</v>
      </c>
      <c r="H121" t="str">
        <f t="shared" si="7"/>
        <v>Adult</v>
      </c>
      <c r="I121" t="str">
        <f t="shared" si="8"/>
        <v>Business</v>
      </c>
      <c r="J121" t="str">
        <f t="shared" si="9"/>
        <v>Confirmed</v>
      </c>
      <c r="K121" s="10" t="str">
        <f t="shared" si="10"/>
        <v>MGQ-NBO</v>
      </c>
      <c r="L121" s="10" t="str">
        <f t="shared" si="11"/>
        <v>ABK00127</v>
      </c>
    </row>
    <row r="122" spans="1:12">
      <c r="A122" t="s">
        <v>149</v>
      </c>
      <c r="B122" s="5">
        <v>46172</v>
      </c>
      <c r="C122" t="s">
        <v>32</v>
      </c>
      <c r="D122" t="s">
        <v>9</v>
      </c>
      <c r="E122" t="s">
        <v>33</v>
      </c>
      <c r="F122" s="7">
        <v>211.7</v>
      </c>
      <c r="G122" t="s">
        <v>14</v>
      </c>
      <c r="H122" t="str">
        <f t="shared" si="7"/>
        <v>Adult</v>
      </c>
      <c r="I122" t="str">
        <f t="shared" si="8"/>
        <v>Business</v>
      </c>
      <c r="J122" t="str">
        <f t="shared" si="9"/>
        <v>Completed</v>
      </c>
      <c r="K122" s="10" t="str">
        <f t="shared" si="10"/>
        <v>MGQ-BSA</v>
      </c>
      <c r="L122" s="10" t="str">
        <f t="shared" si="11"/>
        <v>ABK00128</v>
      </c>
    </row>
    <row r="123" spans="1:12">
      <c r="A123" t="s">
        <v>144</v>
      </c>
      <c r="B123" s="5">
        <v>45854</v>
      </c>
      <c r="C123" t="s">
        <v>18</v>
      </c>
      <c r="D123" t="s">
        <v>9</v>
      </c>
      <c r="E123" t="s">
        <v>10</v>
      </c>
      <c r="F123" s="7">
        <v>243.07</v>
      </c>
      <c r="G123" t="s">
        <v>14</v>
      </c>
      <c r="H123" t="str">
        <f t="shared" si="7"/>
        <v>Adult</v>
      </c>
      <c r="I123" t="str">
        <f t="shared" si="8"/>
        <v>Economy</v>
      </c>
      <c r="J123" t="str">
        <f t="shared" si="9"/>
        <v>Completed</v>
      </c>
      <c r="K123" s="10" t="str">
        <f t="shared" si="10"/>
        <v>MGQ-NBO</v>
      </c>
      <c r="L123" s="10" t="str">
        <f t="shared" si="11"/>
        <v>ABK00129</v>
      </c>
    </row>
    <row r="124" spans="1:12">
      <c r="A124" t="s">
        <v>263</v>
      </c>
      <c r="B124" s="5">
        <v>46080</v>
      </c>
      <c r="C124" t="s">
        <v>8</v>
      </c>
      <c r="D124" t="s">
        <v>9</v>
      </c>
      <c r="E124" t="s">
        <v>10</v>
      </c>
      <c r="F124" s="7">
        <v>96.93</v>
      </c>
      <c r="G124" t="s">
        <v>46</v>
      </c>
      <c r="H124" t="str">
        <f t="shared" si="7"/>
        <v>Adult</v>
      </c>
      <c r="I124" t="str">
        <f t="shared" si="8"/>
        <v>Economy</v>
      </c>
      <c r="J124" t="str">
        <f t="shared" si="9"/>
        <v>Cancelled</v>
      </c>
      <c r="K124" s="10" t="str">
        <f t="shared" si="10"/>
        <v>MGQ-HGA</v>
      </c>
      <c r="L124" s="10" t="str">
        <f t="shared" si="11"/>
        <v>ABK00130</v>
      </c>
    </row>
    <row r="125" spans="1:12">
      <c r="A125" t="s">
        <v>267</v>
      </c>
      <c r="B125" s="5">
        <v>45681</v>
      </c>
      <c r="C125" t="s">
        <v>32</v>
      </c>
      <c r="D125" t="s">
        <v>9</v>
      </c>
      <c r="E125" t="s">
        <v>10</v>
      </c>
      <c r="F125" s="7">
        <v>97.63</v>
      </c>
      <c r="G125" t="s">
        <v>11</v>
      </c>
      <c r="H125" t="str">
        <f t="shared" si="7"/>
        <v>Adult</v>
      </c>
      <c r="I125" t="str">
        <f t="shared" si="8"/>
        <v>Economy</v>
      </c>
      <c r="J125" t="str">
        <f t="shared" si="9"/>
        <v>Confirmed</v>
      </c>
      <c r="K125" s="10" t="str">
        <f t="shared" si="10"/>
        <v>MGQ-BSA</v>
      </c>
      <c r="L125" s="10" t="str">
        <f t="shared" si="11"/>
        <v>ABK00131</v>
      </c>
    </row>
    <row r="126" spans="1:12">
      <c r="A126" t="s">
        <v>292</v>
      </c>
      <c r="B126" s="5">
        <v>46177</v>
      </c>
      <c r="C126" t="s">
        <v>8</v>
      </c>
      <c r="D126" t="s">
        <v>9</v>
      </c>
      <c r="E126" t="s">
        <v>10</v>
      </c>
      <c r="F126" s="7">
        <v>106.06</v>
      </c>
      <c r="G126" t="s">
        <v>11</v>
      </c>
      <c r="H126" t="str">
        <f t="shared" si="7"/>
        <v>Adult</v>
      </c>
      <c r="I126" t="str">
        <f t="shared" si="8"/>
        <v>Economy</v>
      </c>
      <c r="J126" t="str">
        <f t="shared" si="9"/>
        <v>Confirmed</v>
      </c>
      <c r="K126" s="10" t="str">
        <f t="shared" si="10"/>
        <v>MGQ-HGA</v>
      </c>
      <c r="L126" s="10" t="str">
        <f t="shared" si="11"/>
        <v>ABK00132</v>
      </c>
    </row>
    <row r="127" spans="1:12">
      <c r="A127" t="s">
        <v>74</v>
      </c>
      <c r="B127" s="5">
        <v>45865</v>
      </c>
      <c r="C127" t="s">
        <v>32</v>
      </c>
      <c r="D127" t="s">
        <v>9</v>
      </c>
      <c r="E127" t="s">
        <v>10</v>
      </c>
      <c r="F127" s="7">
        <v>119.88</v>
      </c>
      <c r="G127" t="s">
        <v>14</v>
      </c>
      <c r="H127" t="str">
        <f t="shared" si="7"/>
        <v>Adult</v>
      </c>
      <c r="I127" t="str">
        <f t="shared" si="8"/>
        <v>Economy</v>
      </c>
      <c r="J127" t="str">
        <f t="shared" si="9"/>
        <v>Completed</v>
      </c>
      <c r="K127" s="10" t="str">
        <f t="shared" si="10"/>
        <v>MGQ-BSA</v>
      </c>
      <c r="L127" s="10" t="str">
        <f t="shared" si="11"/>
        <v>ABK00133</v>
      </c>
    </row>
    <row r="128" spans="1:12">
      <c r="A128" t="s">
        <v>186</v>
      </c>
      <c r="B128" s="5">
        <v>46165</v>
      </c>
      <c r="C128" t="s">
        <v>8</v>
      </c>
      <c r="D128" t="s">
        <v>84</v>
      </c>
      <c r="E128" t="s">
        <v>10</v>
      </c>
      <c r="F128" s="7">
        <v>85.9</v>
      </c>
      <c r="G128" t="s">
        <v>11</v>
      </c>
      <c r="H128" t="str">
        <f t="shared" si="7"/>
        <v>Unknown</v>
      </c>
      <c r="I128" t="str">
        <f t="shared" si="8"/>
        <v>Economy</v>
      </c>
      <c r="J128" t="str">
        <f t="shared" si="9"/>
        <v>Confirmed</v>
      </c>
      <c r="K128" s="10" t="str">
        <f t="shared" si="10"/>
        <v>MGQ-HGA</v>
      </c>
      <c r="L128" s="10" t="str">
        <f t="shared" si="11"/>
        <v>ABK00134</v>
      </c>
    </row>
    <row r="129" spans="1:12">
      <c r="A129" t="s">
        <v>178</v>
      </c>
      <c r="B129" s="5">
        <v>46028</v>
      </c>
      <c r="C129" t="s">
        <v>8</v>
      </c>
      <c r="D129" t="s">
        <v>9</v>
      </c>
      <c r="E129" t="s">
        <v>10</v>
      </c>
      <c r="F129" s="7">
        <v>96.79</v>
      </c>
      <c r="G129" t="s">
        <v>11</v>
      </c>
      <c r="H129" t="str">
        <f t="shared" si="7"/>
        <v>Adult</v>
      </c>
      <c r="I129" t="str">
        <f t="shared" si="8"/>
        <v>Economy</v>
      </c>
      <c r="J129" t="str">
        <f t="shared" si="9"/>
        <v>Confirmed</v>
      </c>
      <c r="K129" s="10" t="str">
        <f t="shared" si="10"/>
        <v>MGQ-HGA</v>
      </c>
      <c r="L129" s="10" t="str">
        <f t="shared" si="11"/>
        <v>ABK00135</v>
      </c>
    </row>
    <row r="130" spans="1:12">
      <c r="A130" t="s">
        <v>58</v>
      </c>
      <c r="B130" s="5">
        <v>45925</v>
      </c>
      <c r="C130" t="s">
        <v>24</v>
      </c>
      <c r="D130" t="s">
        <v>9</v>
      </c>
      <c r="E130" t="s">
        <v>10</v>
      </c>
      <c r="F130" s="7">
        <v>94.35</v>
      </c>
      <c r="G130" t="s">
        <v>11</v>
      </c>
      <c r="H130" t="str">
        <f t="shared" ref="H130:H193" si="12">PROPER(D130)</f>
        <v>Adult</v>
      </c>
      <c r="I130" t="str">
        <f t="shared" ref="I130:I193" si="13">PROPER(E130)</f>
        <v>Economy</v>
      </c>
      <c r="J130" t="str">
        <f t="shared" ref="J130:J193" si="14">PROPER(G130)</f>
        <v>Confirmed</v>
      </c>
      <c r="K130" s="10" t="str">
        <f t="shared" si="10"/>
        <v>MGQ-KMU</v>
      </c>
      <c r="L130" s="10" t="str">
        <f t="shared" si="11"/>
        <v>ABK00136</v>
      </c>
    </row>
    <row r="131" spans="1:12">
      <c r="A131" t="s">
        <v>124</v>
      </c>
      <c r="B131" s="5">
        <v>46068</v>
      </c>
      <c r="C131" t="s">
        <v>8</v>
      </c>
      <c r="D131" t="s">
        <v>84</v>
      </c>
      <c r="E131" t="s">
        <v>10</v>
      </c>
      <c r="F131" s="7">
        <v>101</v>
      </c>
      <c r="G131" t="s">
        <v>46</v>
      </c>
      <c r="H131" t="str">
        <f t="shared" si="12"/>
        <v>Unknown</v>
      </c>
      <c r="I131" t="str">
        <f t="shared" si="13"/>
        <v>Economy</v>
      </c>
      <c r="J131" t="str">
        <f t="shared" si="14"/>
        <v>Cancelled</v>
      </c>
      <c r="K131" s="10" t="str">
        <f t="shared" ref="K131:K194" si="15">UPPER(C131:C421)</f>
        <v>MGQ-HGA</v>
      </c>
      <c r="L131" s="10" t="str">
        <f t="shared" ref="L131:L194" si="16">TRIM(A131:A421)</f>
        <v>ABK00137</v>
      </c>
    </row>
    <row r="132" spans="1:12">
      <c r="A132" t="s">
        <v>77</v>
      </c>
      <c r="B132" s="5">
        <v>46012</v>
      </c>
      <c r="C132" t="s">
        <v>18</v>
      </c>
      <c r="D132" t="s">
        <v>9</v>
      </c>
      <c r="E132" t="s">
        <v>10</v>
      </c>
      <c r="F132" s="7">
        <v>238.54</v>
      </c>
      <c r="G132" t="s">
        <v>11</v>
      </c>
      <c r="H132" t="str">
        <f t="shared" si="12"/>
        <v>Adult</v>
      </c>
      <c r="I132" t="str">
        <f t="shared" si="13"/>
        <v>Economy</v>
      </c>
      <c r="J132" t="str">
        <f t="shared" si="14"/>
        <v>Confirmed</v>
      </c>
      <c r="K132" s="10" t="str">
        <f t="shared" si="15"/>
        <v>MGQ-NBO</v>
      </c>
      <c r="L132" s="10" t="str">
        <f t="shared" si="16"/>
        <v>ABK00138</v>
      </c>
    </row>
    <row r="133" spans="1:12">
      <c r="A133" t="s">
        <v>108</v>
      </c>
      <c r="B133" s="5">
        <v>45711</v>
      </c>
      <c r="C133" t="s">
        <v>24</v>
      </c>
      <c r="D133" t="s">
        <v>22</v>
      </c>
      <c r="E133" t="s">
        <v>84</v>
      </c>
      <c r="F133" s="7">
        <v>91.04</v>
      </c>
      <c r="G133" t="s">
        <v>14</v>
      </c>
      <c r="H133" t="str">
        <f t="shared" si="12"/>
        <v>Senior</v>
      </c>
      <c r="I133" t="str">
        <f t="shared" si="13"/>
        <v>Unknown</v>
      </c>
      <c r="J133" t="str">
        <f t="shared" si="14"/>
        <v>Completed</v>
      </c>
      <c r="K133" s="10" t="str">
        <f t="shared" si="15"/>
        <v>MGQ-KMU</v>
      </c>
      <c r="L133" s="10" t="str">
        <f t="shared" si="16"/>
        <v>ABK00139</v>
      </c>
    </row>
    <row r="134" spans="1:12">
      <c r="A134" t="s">
        <v>221</v>
      </c>
      <c r="B134" s="5">
        <v>45873</v>
      </c>
      <c r="C134" t="s">
        <v>24</v>
      </c>
      <c r="D134" t="s">
        <v>9</v>
      </c>
      <c r="E134" t="s">
        <v>84</v>
      </c>
      <c r="F134" s="7">
        <v>85.69</v>
      </c>
      <c r="G134" t="s">
        <v>11</v>
      </c>
      <c r="H134" t="str">
        <f t="shared" si="12"/>
        <v>Adult</v>
      </c>
      <c r="I134" t="str">
        <f t="shared" si="13"/>
        <v>Unknown</v>
      </c>
      <c r="J134" t="str">
        <f t="shared" si="14"/>
        <v>Confirmed</v>
      </c>
      <c r="K134" s="10" t="str">
        <f t="shared" si="15"/>
        <v>MGQ-KMU</v>
      </c>
      <c r="L134" s="10" t="str">
        <f t="shared" si="16"/>
        <v>ABK00140</v>
      </c>
    </row>
    <row r="135" spans="1:12">
      <c r="A135" t="s">
        <v>277</v>
      </c>
      <c r="B135" s="5">
        <v>45770</v>
      </c>
      <c r="C135" t="s">
        <v>18</v>
      </c>
      <c r="D135" t="s">
        <v>9</v>
      </c>
      <c r="E135" t="s">
        <v>10</v>
      </c>
      <c r="F135" s="7">
        <v>255.24</v>
      </c>
      <c r="G135" t="s">
        <v>14</v>
      </c>
      <c r="H135" t="str">
        <f t="shared" si="12"/>
        <v>Adult</v>
      </c>
      <c r="I135" t="str">
        <f t="shared" si="13"/>
        <v>Economy</v>
      </c>
      <c r="J135" t="str">
        <f t="shared" si="14"/>
        <v>Completed</v>
      </c>
      <c r="K135" s="10" t="str">
        <f t="shared" si="15"/>
        <v>MGQ-NBO</v>
      </c>
      <c r="L135" s="10" t="str">
        <f t="shared" si="16"/>
        <v>ABK00141</v>
      </c>
    </row>
    <row r="136" spans="1:12">
      <c r="A136" t="s">
        <v>293</v>
      </c>
      <c r="B136" s="5">
        <v>46042</v>
      </c>
      <c r="C136" t="s">
        <v>24</v>
      </c>
      <c r="D136" t="s">
        <v>9</v>
      </c>
      <c r="E136" t="s">
        <v>10</v>
      </c>
      <c r="F136" s="7">
        <v>78.78</v>
      </c>
      <c r="G136" t="s">
        <v>14</v>
      </c>
      <c r="H136" t="str">
        <f t="shared" si="12"/>
        <v>Adult</v>
      </c>
      <c r="I136" t="str">
        <f t="shared" si="13"/>
        <v>Economy</v>
      </c>
      <c r="J136" t="str">
        <f t="shared" si="14"/>
        <v>Completed</v>
      </c>
      <c r="K136" s="10" t="str">
        <f t="shared" si="15"/>
        <v>MGQ-KMU</v>
      </c>
      <c r="L136" s="10" t="str">
        <f t="shared" si="16"/>
        <v>ABK00142</v>
      </c>
    </row>
    <row r="137" spans="1:12">
      <c r="A137" t="s">
        <v>12</v>
      </c>
      <c r="B137" s="5">
        <v>45761</v>
      </c>
      <c r="C137" t="s">
        <v>13</v>
      </c>
      <c r="D137" t="s">
        <v>9</v>
      </c>
      <c r="E137" t="s">
        <v>10</v>
      </c>
      <c r="F137" s="7">
        <v>235.06</v>
      </c>
      <c r="G137" t="s">
        <v>14</v>
      </c>
      <c r="H137" t="str">
        <f t="shared" si="12"/>
        <v>Adult</v>
      </c>
      <c r="I137" t="str">
        <f t="shared" si="13"/>
        <v>Economy</v>
      </c>
      <c r="J137" t="str">
        <f t="shared" si="14"/>
        <v>Completed</v>
      </c>
      <c r="K137" s="10" t="str">
        <f t="shared" si="15"/>
        <v>MGQ-ADD</v>
      </c>
      <c r="L137" s="10" t="str">
        <f t="shared" si="16"/>
        <v>ABK00143</v>
      </c>
    </row>
    <row r="138" spans="1:12">
      <c r="A138" t="s">
        <v>213</v>
      </c>
      <c r="B138" s="5">
        <v>46198</v>
      </c>
      <c r="C138" t="s">
        <v>8</v>
      </c>
      <c r="D138" t="s">
        <v>9</v>
      </c>
      <c r="E138" t="s">
        <v>214</v>
      </c>
      <c r="F138" s="7">
        <v>86.3</v>
      </c>
      <c r="G138" t="s">
        <v>14</v>
      </c>
      <c r="H138" t="str">
        <f t="shared" si="12"/>
        <v>Adult</v>
      </c>
      <c r="I138" t="str">
        <f t="shared" si="13"/>
        <v>Economy</v>
      </c>
      <c r="J138" t="str">
        <f t="shared" si="14"/>
        <v>Completed</v>
      </c>
      <c r="K138" s="10" t="str">
        <f t="shared" si="15"/>
        <v>MGQ-HGA</v>
      </c>
      <c r="L138" s="10" t="str">
        <f t="shared" si="16"/>
        <v>ABK00144</v>
      </c>
    </row>
    <row r="139" spans="1:12">
      <c r="A139" t="s">
        <v>210</v>
      </c>
      <c r="B139" s="5">
        <v>46146</v>
      </c>
      <c r="C139" t="s">
        <v>18</v>
      </c>
      <c r="D139" t="s">
        <v>9</v>
      </c>
      <c r="E139" t="s">
        <v>10</v>
      </c>
      <c r="F139" s="7">
        <v>231.65</v>
      </c>
      <c r="G139" t="s">
        <v>11</v>
      </c>
      <c r="H139" t="str">
        <f t="shared" si="12"/>
        <v>Adult</v>
      </c>
      <c r="I139" t="str">
        <f t="shared" si="13"/>
        <v>Economy</v>
      </c>
      <c r="J139" t="str">
        <f t="shared" si="14"/>
        <v>Confirmed</v>
      </c>
      <c r="K139" s="10" t="str">
        <f t="shared" si="15"/>
        <v>MGQ-NBO</v>
      </c>
      <c r="L139" s="10" t="str">
        <f t="shared" si="16"/>
        <v>ABK00145</v>
      </c>
    </row>
    <row r="140" spans="1:12">
      <c r="A140" t="s">
        <v>37</v>
      </c>
      <c r="B140" s="5">
        <v>46166</v>
      </c>
      <c r="C140" t="s">
        <v>18</v>
      </c>
      <c r="D140" t="s">
        <v>9</v>
      </c>
      <c r="E140" t="s">
        <v>10</v>
      </c>
      <c r="F140" s="7">
        <v>199.01</v>
      </c>
      <c r="G140" t="s">
        <v>14</v>
      </c>
      <c r="H140" t="str">
        <f t="shared" si="12"/>
        <v>Adult</v>
      </c>
      <c r="I140" t="str">
        <f t="shared" si="13"/>
        <v>Economy</v>
      </c>
      <c r="J140" t="str">
        <f t="shared" si="14"/>
        <v>Completed</v>
      </c>
      <c r="K140" s="10" t="str">
        <f t="shared" si="15"/>
        <v>MGQ-NBO</v>
      </c>
      <c r="L140" s="10" t="str">
        <f t="shared" si="16"/>
        <v>ABK00146</v>
      </c>
    </row>
    <row r="141" spans="1:12">
      <c r="A141" t="s">
        <v>64</v>
      </c>
      <c r="B141" s="5">
        <v>45766</v>
      </c>
      <c r="C141" t="s">
        <v>24</v>
      </c>
      <c r="D141" t="s">
        <v>9</v>
      </c>
      <c r="E141" t="s">
        <v>10</v>
      </c>
      <c r="F141" s="7">
        <v>90.1</v>
      </c>
      <c r="G141" t="s">
        <v>14</v>
      </c>
      <c r="H141" t="str">
        <f t="shared" si="12"/>
        <v>Adult</v>
      </c>
      <c r="I141" t="str">
        <f t="shared" si="13"/>
        <v>Economy</v>
      </c>
      <c r="J141" t="str">
        <f t="shared" si="14"/>
        <v>Completed</v>
      </c>
      <c r="K141" s="10" t="str">
        <f t="shared" si="15"/>
        <v>MGQ-KMU</v>
      </c>
      <c r="L141" s="10" t="str">
        <f t="shared" si="16"/>
        <v>ABK00147</v>
      </c>
    </row>
    <row r="142" spans="1:12">
      <c r="A142" t="s">
        <v>163</v>
      </c>
      <c r="B142" s="5">
        <v>45831</v>
      </c>
      <c r="C142" t="s">
        <v>8</v>
      </c>
      <c r="D142" t="s">
        <v>9</v>
      </c>
      <c r="E142" t="s">
        <v>10</v>
      </c>
      <c r="F142" s="7">
        <v>117.7</v>
      </c>
      <c r="G142" t="s">
        <v>84</v>
      </c>
      <c r="H142" t="str">
        <f t="shared" si="12"/>
        <v>Adult</v>
      </c>
      <c r="I142" t="str">
        <f t="shared" si="13"/>
        <v>Economy</v>
      </c>
      <c r="J142" t="str">
        <f t="shared" si="14"/>
        <v>Unknown</v>
      </c>
      <c r="K142" s="10" t="str">
        <f t="shared" si="15"/>
        <v>MGQ-HGA</v>
      </c>
      <c r="L142" s="10" t="str">
        <f t="shared" si="16"/>
        <v>ABK00148</v>
      </c>
    </row>
    <row r="143" spans="1:12">
      <c r="A143" t="s">
        <v>204</v>
      </c>
      <c r="B143" s="5">
        <v>46150</v>
      </c>
      <c r="C143" t="s">
        <v>32</v>
      </c>
      <c r="D143" t="s">
        <v>9</v>
      </c>
      <c r="E143" t="s">
        <v>10</v>
      </c>
      <c r="F143" s="7">
        <v>124.97</v>
      </c>
      <c r="G143" t="s">
        <v>14</v>
      </c>
      <c r="H143" t="str">
        <f t="shared" si="12"/>
        <v>Adult</v>
      </c>
      <c r="I143" t="str">
        <f t="shared" si="13"/>
        <v>Economy</v>
      </c>
      <c r="J143" t="str">
        <f t="shared" si="14"/>
        <v>Completed</v>
      </c>
      <c r="K143" s="10" t="str">
        <f t="shared" si="15"/>
        <v>MGQ-BSA</v>
      </c>
      <c r="L143" s="10" t="str">
        <f t="shared" si="16"/>
        <v>ABK00149</v>
      </c>
    </row>
    <row r="144" spans="1:12">
      <c r="A144" t="s">
        <v>116</v>
      </c>
      <c r="B144" s="5">
        <v>46217</v>
      </c>
      <c r="C144" t="s">
        <v>18</v>
      </c>
      <c r="D144" t="s">
        <v>9</v>
      </c>
      <c r="E144" t="s">
        <v>33</v>
      </c>
      <c r="F144" s="7">
        <v>406.61</v>
      </c>
      <c r="G144" t="s">
        <v>84</v>
      </c>
      <c r="H144" t="str">
        <f t="shared" si="12"/>
        <v>Adult</v>
      </c>
      <c r="I144" t="str">
        <f t="shared" si="13"/>
        <v>Business</v>
      </c>
      <c r="J144" t="str">
        <f t="shared" si="14"/>
        <v>Unknown</v>
      </c>
      <c r="K144" s="10" t="str">
        <f t="shared" si="15"/>
        <v>MGQ-NBO</v>
      </c>
      <c r="L144" s="10" t="str">
        <f t="shared" si="16"/>
        <v>ABK00150</v>
      </c>
    </row>
    <row r="145" spans="1:12">
      <c r="A145" t="s">
        <v>239</v>
      </c>
      <c r="B145" s="5">
        <v>45712</v>
      </c>
      <c r="C145" t="s">
        <v>18</v>
      </c>
      <c r="D145" t="s">
        <v>9</v>
      </c>
      <c r="E145" t="s">
        <v>33</v>
      </c>
      <c r="F145" s="7">
        <v>492.68</v>
      </c>
      <c r="G145" t="s">
        <v>11</v>
      </c>
      <c r="H145" t="str">
        <f t="shared" si="12"/>
        <v>Adult</v>
      </c>
      <c r="I145" t="str">
        <f t="shared" si="13"/>
        <v>Business</v>
      </c>
      <c r="J145" t="str">
        <f t="shared" si="14"/>
        <v>Confirmed</v>
      </c>
      <c r="K145" s="10" t="str">
        <f t="shared" si="15"/>
        <v>MGQ-NBO</v>
      </c>
      <c r="L145" s="10" t="str">
        <f t="shared" si="16"/>
        <v>ABK00151</v>
      </c>
    </row>
    <row r="146" spans="1:12">
      <c r="A146" t="s">
        <v>73</v>
      </c>
      <c r="B146" s="5">
        <v>46194</v>
      </c>
      <c r="C146" t="s">
        <v>24</v>
      </c>
      <c r="D146" t="s">
        <v>9</v>
      </c>
      <c r="E146" t="s">
        <v>10</v>
      </c>
      <c r="F146" s="7">
        <v>101.45</v>
      </c>
      <c r="G146" t="s">
        <v>11</v>
      </c>
      <c r="H146" t="str">
        <f t="shared" si="12"/>
        <v>Adult</v>
      </c>
      <c r="I146" t="str">
        <f t="shared" si="13"/>
        <v>Economy</v>
      </c>
      <c r="J146" t="str">
        <f t="shared" si="14"/>
        <v>Confirmed</v>
      </c>
      <c r="K146" s="10" t="str">
        <f t="shared" si="15"/>
        <v>MGQ-KMU</v>
      </c>
      <c r="L146" s="10" t="str">
        <f t="shared" si="16"/>
        <v>ABK00152</v>
      </c>
    </row>
    <row r="147" spans="1:12">
      <c r="A147" t="s">
        <v>203</v>
      </c>
      <c r="B147" s="5">
        <v>46208</v>
      </c>
      <c r="C147" t="s">
        <v>32</v>
      </c>
      <c r="D147" t="s">
        <v>9</v>
      </c>
      <c r="E147" t="s">
        <v>10</v>
      </c>
      <c r="F147" s="7">
        <v>137.24</v>
      </c>
      <c r="G147" t="s">
        <v>14</v>
      </c>
      <c r="H147" t="str">
        <f t="shared" si="12"/>
        <v>Adult</v>
      </c>
      <c r="I147" t="str">
        <f t="shared" si="13"/>
        <v>Economy</v>
      </c>
      <c r="J147" t="str">
        <f t="shared" si="14"/>
        <v>Completed</v>
      </c>
      <c r="K147" s="10" t="str">
        <f t="shared" si="15"/>
        <v>MGQ-BSA</v>
      </c>
      <c r="L147" s="10" t="str">
        <f t="shared" si="16"/>
        <v>ABK00153</v>
      </c>
    </row>
    <row r="148" spans="1:12">
      <c r="A148" t="s">
        <v>280</v>
      </c>
      <c r="B148" s="5">
        <v>45683</v>
      </c>
      <c r="C148" t="s">
        <v>18</v>
      </c>
      <c r="D148" t="s">
        <v>16</v>
      </c>
      <c r="E148" t="s">
        <v>10</v>
      </c>
      <c r="F148" s="7">
        <v>250.23</v>
      </c>
      <c r="G148" t="s">
        <v>14</v>
      </c>
      <c r="H148" t="str">
        <f t="shared" si="12"/>
        <v>Child</v>
      </c>
      <c r="I148" t="str">
        <f t="shared" si="13"/>
        <v>Economy</v>
      </c>
      <c r="J148" t="str">
        <f t="shared" si="14"/>
        <v>Completed</v>
      </c>
      <c r="K148" s="10" t="str">
        <f t="shared" si="15"/>
        <v>MGQ-NBO</v>
      </c>
      <c r="L148" s="10" t="str">
        <f t="shared" si="16"/>
        <v>ABK00154</v>
      </c>
    </row>
    <row r="149" spans="1:12">
      <c r="A149" t="s">
        <v>133</v>
      </c>
      <c r="B149" s="5">
        <v>45934</v>
      </c>
      <c r="C149" t="s">
        <v>8</v>
      </c>
      <c r="D149" t="s">
        <v>22</v>
      </c>
      <c r="E149" t="s">
        <v>10</v>
      </c>
      <c r="F149" s="7">
        <v>99.81</v>
      </c>
      <c r="G149" t="s">
        <v>14</v>
      </c>
      <c r="H149" t="str">
        <f t="shared" si="12"/>
        <v>Senior</v>
      </c>
      <c r="I149" t="str">
        <f t="shared" si="13"/>
        <v>Economy</v>
      </c>
      <c r="J149" t="str">
        <f t="shared" si="14"/>
        <v>Completed</v>
      </c>
      <c r="K149" s="10" t="str">
        <f t="shared" si="15"/>
        <v>MGQ-HGA</v>
      </c>
      <c r="L149" s="10" t="str">
        <f t="shared" si="16"/>
        <v>ABK00155</v>
      </c>
    </row>
    <row r="150" spans="1:12">
      <c r="A150" t="s">
        <v>238</v>
      </c>
      <c r="B150" s="5">
        <v>46151</v>
      </c>
      <c r="C150" t="s">
        <v>24</v>
      </c>
      <c r="D150" t="s">
        <v>9</v>
      </c>
      <c r="E150" t="s">
        <v>10</v>
      </c>
      <c r="F150" s="7">
        <v>103.54</v>
      </c>
      <c r="G150" t="s">
        <v>84</v>
      </c>
      <c r="H150" t="str">
        <f t="shared" si="12"/>
        <v>Adult</v>
      </c>
      <c r="I150" t="str">
        <f t="shared" si="13"/>
        <v>Economy</v>
      </c>
      <c r="J150" t="str">
        <f t="shared" si="14"/>
        <v>Unknown</v>
      </c>
      <c r="K150" s="10" t="str">
        <f t="shared" si="15"/>
        <v>MGQ-KMU</v>
      </c>
      <c r="L150" s="10" t="str">
        <f t="shared" si="16"/>
        <v>ABK00156</v>
      </c>
    </row>
    <row r="151" spans="1:12">
      <c r="A151" t="s">
        <v>209</v>
      </c>
      <c r="B151" s="5">
        <v>45787</v>
      </c>
      <c r="C151" t="s">
        <v>8</v>
      </c>
      <c r="D151" t="s">
        <v>84</v>
      </c>
      <c r="E151" t="s">
        <v>10</v>
      </c>
      <c r="F151" s="7">
        <v>89.2</v>
      </c>
      <c r="G151" t="s">
        <v>11</v>
      </c>
      <c r="H151" t="str">
        <f t="shared" si="12"/>
        <v>Unknown</v>
      </c>
      <c r="I151" t="str">
        <f t="shared" si="13"/>
        <v>Economy</v>
      </c>
      <c r="J151" t="str">
        <f t="shared" si="14"/>
        <v>Confirmed</v>
      </c>
      <c r="K151" s="10" t="str">
        <f t="shared" si="15"/>
        <v>MGQ-HGA</v>
      </c>
      <c r="L151" s="10" t="str">
        <f t="shared" si="16"/>
        <v>ABK00157</v>
      </c>
    </row>
    <row r="152" spans="1:12">
      <c r="A152" t="s">
        <v>120</v>
      </c>
      <c r="B152" s="5">
        <v>45685</v>
      </c>
      <c r="C152" t="s">
        <v>18</v>
      </c>
      <c r="D152" t="s">
        <v>9</v>
      </c>
      <c r="E152" t="s">
        <v>33</v>
      </c>
      <c r="F152" s="7">
        <v>464.55</v>
      </c>
      <c r="G152" t="s">
        <v>14</v>
      </c>
      <c r="H152" t="str">
        <f t="shared" si="12"/>
        <v>Adult</v>
      </c>
      <c r="I152" t="str">
        <f t="shared" si="13"/>
        <v>Business</v>
      </c>
      <c r="J152" t="str">
        <f t="shared" si="14"/>
        <v>Completed</v>
      </c>
      <c r="K152" s="10" t="str">
        <f t="shared" si="15"/>
        <v>MGQ-NBO</v>
      </c>
      <c r="L152" s="10" t="str">
        <f t="shared" si="16"/>
        <v>ABK00158</v>
      </c>
    </row>
    <row r="153" spans="1:12">
      <c r="A153" t="s">
        <v>125</v>
      </c>
      <c r="B153" s="5">
        <v>45718</v>
      </c>
      <c r="C153" t="s">
        <v>18</v>
      </c>
      <c r="D153" t="s">
        <v>9</v>
      </c>
      <c r="E153" t="s">
        <v>33</v>
      </c>
      <c r="F153" s="7">
        <v>462.98</v>
      </c>
      <c r="G153" t="s">
        <v>14</v>
      </c>
      <c r="H153" t="str">
        <f t="shared" si="12"/>
        <v>Adult</v>
      </c>
      <c r="I153" t="str">
        <f t="shared" si="13"/>
        <v>Business</v>
      </c>
      <c r="J153" t="str">
        <f t="shared" si="14"/>
        <v>Completed</v>
      </c>
      <c r="K153" s="10" t="str">
        <f t="shared" si="15"/>
        <v>MGQ-NBO</v>
      </c>
      <c r="L153" s="10" t="str">
        <f t="shared" si="16"/>
        <v>ABK00159</v>
      </c>
    </row>
    <row r="154" spans="1:12">
      <c r="A154" t="s">
        <v>78</v>
      </c>
      <c r="B154" s="5">
        <v>46019</v>
      </c>
      <c r="C154" t="s">
        <v>84</v>
      </c>
      <c r="D154" t="s">
        <v>9</v>
      </c>
      <c r="E154" t="s">
        <v>10</v>
      </c>
      <c r="F154" s="7">
        <v>105.34</v>
      </c>
      <c r="G154" t="s">
        <v>11</v>
      </c>
      <c r="H154" t="str">
        <f t="shared" si="12"/>
        <v>Adult</v>
      </c>
      <c r="I154" t="str">
        <f t="shared" si="13"/>
        <v>Economy</v>
      </c>
      <c r="J154" t="str">
        <f t="shared" si="14"/>
        <v>Confirmed</v>
      </c>
      <c r="K154" s="10" t="str">
        <f t="shared" si="15"/>
        <v>UNKNOWN</v>
      </c>
      <c r="L154" s="10" t="str">
        <f t="shared" si="16"/>
        <v>ABK00160</v>
      </c>
    </row>
    <row r="155" spans="1:12">
      <c r="A155" t="s">
        <v>240</v>
      </c>
      <c r="B155" s="5">
        <v>45726</v>
      </c>
      <c r="C155" t="s">
        <v>18</v>
      </c>
      <c r="D155" t="s">
        <v>9</v>
      </c>
      <c r="E155" t="s">
        <v>10</v>
      </c>
      <c r="F155" s="7">
        <v>271.20999999999998</v>
      </c>
      <c r="G155" t="s">
        <v>14</v>
      </c>
      <c r="H155" t="str">
        <f t="shared" si="12"/>
        <v>Adult</v>
      </c>
      <c r="I155" t="str">
        <f t="shared" si="13"/>
        <v>Economy</v>
      </c>
      <c r="J155" t="str">
        <f t="shared" si="14"/>
        <v>Completed</v>
      </c>
      <c r="K155" s="10" t="str">
        <f t="shared" si="15"/>
        <v>MGQ-NBO</v>
      </c>
      <c r="L155" s="10" t="str">
        <f t="shared" si="16"/>
        <v>ABK00161</v>
      </c>
    </row>
    <row r="156" spans="1:12">
      <c r="A156" t="s">
        <v>132</v>
      </c>
      <c r="B156" s="5">
        <v>45776</v>
      </c>
      <c r="C156" t="s">
        <v>13</v>
      </c>
      <c r="D156" t="s">
        <v>22</v>
      </c>
      <c r="E156" t="s">
        <v>10</v>
      </c>
      <c r="F156" s="7">
        <v>233.61</v>
      </c>
      <c r="G156" t="s">
        <v>46</v>
      </c>
      <c r="H156" t="str">
        <f t="shared" si="12"/>
        <v>Senior</v>
      </c>
      <c r="I156" t="str">
        <f t="shared" si="13"/>
        <v>Economy</v>
      </c>
      <c r="J156" t="str">
        <f t="shared" si="14"/>
        <v>Cancelled</v>
      </c>
      <c r="K156" s="10" t="str">
        <f t="shared" si="15"/>
        <v>MGQ-ADD</v>
      </c>
      <c r="L156" s="10" t="str">
        <f t="shared" si="16"/>
        <v>ABK00162</v>
      </c>
    </row>
    <row r="157" spans="1:12">
      <c r="A157" t="s">
        <v>289</v>
      </c>
      <c r="B157" s="5">
        <v>45777</v>
      </c>
      <c r="C157" t="s">
        <v>18</v>
      </c>
      <c r="D157" t="s">
        <v>22</v>
      </c>
      <c r="E157" t="s">
        <v>10</v>
      </c>
      <c r="F157" s="7">
        <v>191.9</v>
      </c>
      <c r="G157" t="s">
        <v>11</v>
      </c>
      <c r="H157" t="str">
        <f t="shared" si="12"/>
        <v>Senior</v>
      </c>
      <c r="I157" t="str">
        <f t="shared" si="13"/>
        <v>Economy</v>
      </c>
      <c r="J157" t="str">
        <f t="shared" si="14"/>
        <v>Confirmed</v>
      </c>
      <c r="K157" s="10" t="str">
        <f t="shared" si="15"/>
        <v>MGQ-NBO</v>
      </c>
      <c r="L157" s="10" t="str">
        <f t="shared" si="16"/>
        <v>ABK00163</v>
      </c>
    </row>
    <row r="158" spans="1:12">
      <c r="A158" t="s">
        <v>94</v>
      </c>
      <c r="B158" s="5">
        <v>45908</v>
      </c>
      <c r="C158" t="s">
        <v>18</v>
      </c>
      <c r="D158" t="s">
        <v>16</v>
      </c>
      <c r="E158" t="s">
        <v>33</v>
      </c>
      <c r="F158" s="7">
        <v>436.07</v>
      </c>
      <c r="G158" t="s">
        <v>11</v>
      </c>
      <c r="H158" t="str">
        <f t="shared" si="12"/>
        <v>Child</v>
      </c>
      <c r="I158" t="str">
        <f t="shared" si="13"/>
        <v>Business</v>
      </c>
      <c r="J158" t="str">
        <f t="shared" si="14"/>
        <v>Confirmed</v>
      </c>
      <c r="K158" s="10" t="str">
        <f t="shared" si="15"/>
        <v>MGQ-NBO</v>
      </c>
      <c r="L158" s="10" t="str">
        <f t="shared" si="16"/>
        <v>ABK00164</v>
      </c>
    </row>
    <row r="159" spans="1:12">
      <c r="A159" t="s">
        <v>197</v>
      </c>
      <c r="B159" s="5">
        <v>45984</v>
      </c>
      <c r="C159" t="s">
        <v>13</v>
      </c>
      <c r="D159" t="s">
        <v>9</v>
      </c>
      <c r="E159" t="s">
        <v>10</v>
      </c>
      <c r="F159" s="7">
        <v>281.02999999999997</v>
      </c>
      <c r="G159" t="s">
        <v>11</v>
      </c>
      <c r="H159" t="str">
        <f t="shared" si="12"/>
        <v>Adult</v>
      </c>
      <c r="I159" t="str">
        <f t="shared" si="13"/>
        <v>Economy</v>
      </c>
      <c r="J159" t="str">
        <f t="shared" si="14"/>
        <v>Confirmed</v>
      </c>
      <c r="K159" s="10" t="str">
        <f t="shared" si="15"/>
        <v>MGQ-ADD</v>
      </c>
      <c r="L159" s="10" t="str">
        <f t="shared" si="16"/>
        <v>ABK00165</v>
      </c>
    </row>
    <row r="160" spans="1:12">
      <c r="A160" t="s">
        <v>131</v>
      </c>
      <c r="B160" s="5">
        <v>45805</v>
      </c>
      <c r="C160" t="s">
        <v>18</v>
      </c>
      <c r="D160" t="s">
        <v>84</v>
      </c>
      <c r="E160" t="s">
        <v>10</v>
      </c>
      <c r="F160" s="7">
        <v>215</v>
      </c>
      <c r="G160" t="s">
        <v>11</v>
      </c>
      <c r="H160" t="str">
        <f t="shared" si="12"/>
        <v>Unknown</v>
      </c>
      <c r="I160" t="str">
        <f t="shared" si="13"/>
        <v>Economy</v>
      </c>
      <c r="J160" t="str">
        <f t="shared" si="14"/>
        <v>Confirmed</v>
      </c>
      <c r="K160" s="10" t="str">
        <f t="shared" si="15"/>
        <v>MGQ-NBO</v>
      </c>
      <c r="L160" s="10" t="str">
        <f t="shared" si="16"/>
        <v>ABK00166</v>
      </c>
    </row>
    <row r="161" spans="1:12">
      <c r="A161" t="s">
        <v>169</v>
      </c>
      <c r="B161" s="5">
        <v>45717</v>
      </c>
      <c r="C161" t="s">
        <v>8</v>
      </c>
      <c r="D161" t="s">
        <v>9</v>
      </c>
      <c r="E161" t="s">
        <v>104</v>
      </c>
      <c r="F161" s="7">
        <v>203.04</v>
      </c>
      <c r="G161" t="s">
        <v>46</v>
      </c>
      <c r="H161" t="str">
        <f t="shared" si="12"/>
        <v>Adult</v>
      </c>
      <c r="I161" t="str">
        <f t="shared" si="13"/>
        <v>Business</v>
      </c>
      <c r="J161" t="str">
        <f t="shared" si="14"/>
        <v>Cancelled</v>
      </c>
      <c r="K161" s="10" t="str">
        <f t="shared" si="15"/>
        <v>MGQ-HGA</v>
      </c>
      <c r="L161" s="10" t="str">
        <f t="shared" si="16"/>
        <v>ABK00167</v>
      </c>
    </row>
    <row r="162" spans="1:12">
      <c r="A162" t="s">
        <v>31</v>
      </c>
      <c r="B162" s="5">
        <v>45684</v>
      </c>
      <c r="C162" t="s">
        <v>32</v>
      </c>
      <c r="D162" t="s">
        <v>9</v>
      </c>
      <c r="E162" t="s">
        <v>33</v>
      </c>
      <c r="F162" s="7">
        <v>211.82</v>
      </c>
      <c r="G162" t="s">
        <v>14</v>
      </c>
      <c r="H162" t="str">
        <f t="shared" si="12"/>
        <v>Adult</v>
      </c>
      <c r="I162" t="str">
        <f t="shared" si="13"/>
        <v>Business</v>
      </c>
      <c r="J162" t="str">
        <f t="shared" si="14"/>
        <v>Completed</v>
      </c>
      <c r="K162" s="10" t="str">
        <f t="shared" si="15"/>
        <v>MGQ-BSA</v>
      </c>
      <c r="L162" s="10" t="str">
        <f t="shared" si="16"/>
        <v>ABK00168</v>
      </c>
    </row>
    <row r="163" spans="1:12">
      <c r="A163" t="s">
        <v>115</v>
      </c>
      <c r="B163" s="5">
        <v>45702</v>
      </c>
      <c r="C163" t="s">
        <v>13</v>
      </c>
      <c r="D163" t="s">
        <v>9</v>
      </c>
      <c r="E163" t="s">
        <v>10</v>
      </c>
      <c r="F163" s="7">
        <v>274.17</v>
      </c>
      <c r="G163" t="s">
        <v>11</v>
      </c>
      <c r="H163" t="str">
        <f t="shared" si="12"/>
        <v>Adult</v>
      </c>
      <c r="I163" t="str">
        <f t="shared" si="13"/>
        <v>Economy</v>
      </c>
      <c r="J163" t="str">
        <f t="shared" si="14"/>
        <v>Confirmed</v>
      </c>
      <c r="K163" s="10" t="str">
        <f t="shared" si="15"/>
        <v>MGQ-ADD</v>
      </c>
      <c r="L163" s="10" t="str">
        <f t="shared" si="16"/>
        <v>ABK00169</v>
      </c>
    </row>
    <row r="164" spans="1:12">
      <c r="A164" t="s">
        <v>184</v>
      </c>
      <c r="B164" s="5">
        <v>45992</v>
      </c>
      <c r="C164" t="s">
        <v>18</v>
      </c>
      <c r="D164" t="s">
        <v>9</v>
      </c>
      <c r="E164" t="s">
        <v>10</v>
      </c>
      <c r="F164" s="7">
        <v>194.84</v>
      </c>
      <c r="G164" t="s">
        <v>46</v>
      </c>
      <c r="H164" t="str">
        <f t="shared" si="12"/>
        <v>Adult</v>
      </c>
      <c r="I164" t="str">
        <f t="shared" si="13"/>
        <v>Economy</v>
      </c>
      <c r="J164" t="str">
        <f t="shared" si="14"/>
        <v>Cancelled</v>
      </c>
      <c r="K164" s="10" t="str">
        <f t="shared" si="15"/>
        <v>MGQ-NBO</v>
      </c>
      <c r="L164" s="10" t="str">
        <f t="shared" si="16"/>
        <v>ABK00170</v>
      </c>
    </row>
    <row r="165" spans="1:12">
      <c r="A165" t="s">
        <v>90</v>
      </c>
      <c r="B165" s="5">
        <v>45663</v>
      </c>
      <c r="C165" t="s">
        <v>32</v>
      </c>
      <c r="D165" t="s">
        <v>9</v>
      </c>
      <c r="E165" t="s">
        <v>10</v>
      </c>
      <c r="F165" s="7">
        <v>106.84</v>
      </c>
      <c r="G165" t="s">
        <v>14</v>
      </c>
      <c r="H165" t="str">
        <f t="shared" si="12"/>
        <v>Adult</v>
      </c>
      <c r="I165" t="str">
        <f t="shared" si="13"/>
        <v>Economy</v>
      </c>
      <c r="J165" t="str">
        <f t="shared" si="14"/>
        <v>Completed</v>
      </c>
      <c r="K165" s="10" t="str">
        <f t="shared" si="15"/>
        <v>MGQ-BSA</v>
      </c>
      <c r="L165" s="10" t="str">
        <f t="shared" si="16"/>
        <v>ABK00171</v>
      </c>
    </row>
    <row r="166" spans="1:12">
      <c r="A166" t="s">
        <v>165</v>
      </c>
      <c r="B166" s="5">
        <v>46189</v>
      </c>
      <c r="C166" t="s">
        <v>84</v>
      </c>
      <c r="D166" t="s">
        <v>9</v>
      </c>
      <c r="E166" t="s">
        <v>10</v>
      </c>
      <c r="F166" s="7">
        <v>79.55</v>
      </c>
      <c r="G166" t="s">
        <v>11</v>
      </c>
      <c r="H166" t="str">
        <f t="shared" si="12"/>
        <v>Adult</v>
      </c>
      <c r="I166" t="str">
        <f t="shared" si="13"/>
        <v>Economy</v>
      </c>
      <c r="J166" t="str">
        <f t="shared" si="14"/>
        <v>Confirmed</v>
      </c>
      <c r="K166" s="10" t="str">
        <f t="shared" si="15"/>
        <v>UNKNOWN</v>
      </c>
      <c r="L166" s="10" t="str">
        <f t="shared" si="16"/>
        <v>ABK00172</v>
      </c>
    </row>
    <row r="167" spans="1:12">
      <c r="A167" t="s">
        <v>247</v>
      </c>
      <c r="B167" s="5">
        <v>45669</v>
      </c>
      <c r="C167" t="s">
        <v>18</v>
      </c>
      <c r="D167" t="s">
        <v>9</v>
      </c>
      <c r="E167" t="s">
        <v>10</v>
      </c>
      <c r="F167" s="7">
        <v>237.56</v>
      </c>
      <c r="G167" t="s">
        <v>14</v>
      </c>
      <c r="H167" t="str">
        <f t="shared" si="12"/>
        <v>Adult</v>
      </c>
      <c r="I167" t="str">
        <f t="shared" si="13"/>
        <v>Economy</v>
      </c>
      <c r="J167" t="str">
        <f t="shared" si="14"/>
        <v>Completed</v>
      </c>
      <c r="K167" s="10" t="str">
        <f t="shared" si="15"/>
        <v>MGQ-NBO</v>
      </c>
      <c r="L167" s="10" t="str">
        <f t="shared" si="16"/>
        <v>ABK00173</v>
      </c>
    </row>
    <row r="168" spans="1:12">
      <c r="A168" t="s">
        <v>175</v>
      </c>
      <c r="B168" s="5">
        <v>46099</v>
      </c>
      <c r="C168" t="s">
        <v>24</v>
      </c>
      <c r="D168" t="s">
        <v>9</v>
      </c>
      <c r="E168" t="s">
        <v>10</v>
      </c>
      <c r="F168" s="7">
        <v>83.61</v>
      </c>
      <c r="G168" t="s">
        <v>14</v>
      </c>
      <c r="H168" t="str">
        <f t="shared" si="12"/>
        <v>Adult</v>
      </c>
      <c r="I168" t="str">
        <f t="shared" si="13"/>
        <v>Economy</v>
      </c>
      <c r="J168" t="str">
        <f t="shared" si="14"/>
        <v>Completed</v>
      </c>
      <c r="K168" s="10" t="str">
        <f t="shared" si="15"/>
        <v>MGQ-KMU</v>
      </c>
      <c r="L168" s="10" t="str">
        <f t="shared" si="16"/>
        <v>ABK00174</v>
      </c>
    </row>
    <row r="169" spans="1:12">
      <c r="A169" t="s">
        <v>269</v>
      </c>
      <c r="B169" s="5">
        <v>46029</v>
      </c>
      <c r="C169" t="s">
        <v>8</v>
      </c>
      <c r="D169" t="s">
        <v>9</v>
      </c>
      <c r="E169" t="s">
        <v>10</v>
      </c>
      <c r="F169" s="7">
        <v>199.01</v>
      </c>
      <c r="G169" t="s">
        <v>14</v>
      </c>
      <c r="H169" t="str">
        <f t="shared" si="12"/>
        <v>Adult</v>
      </c>
      <c r="I169" t="str">
        <f t="shared" si="13"/>
        <v>Economy</v>
      </c>
      <c r="J169" t="str">
        <f t="shared" si="14"/>
        <v>Completed</v>
      </c>
      <c r="K169" s="10" t="str">
        <f t="shared" si="15"/>
        <v>MGQ-HGA</v>
      </c>
      <c r="L169" s="10" t="str">
        <f t="shared" si="16"/>
        <v>ABK00176</v>
      </c>
    </row>
    <row r="170" spans="1:12">
      <c r="A170" t="s">
        <v>150</v>
      </c>
      <c r="B170" s="5">
        <v>46179</v>
      </c>
      <c r="C170" t="s">
        <v>18</v>
      </c>
      <c r="D170" t="s">
        <v>9</v>
      </c>
      <c r="E170" t="s">
        <v>10</v>
      </c>
      <c r="F170" s="7">
        <v>190.16</v>
      </c>
      <c r="G170" t="s">
        <v>14</v>
      </c>
      <c r="H170" t="str">
        <f t="shared" si="12"/>
        <v>Adult</v>
      </c>
      <c r="I170" t="str">
        <f t="shared" si="13"/>
        <v>Economy</v>
      </c>
      <c r="J170" t="str">
        <f t="shared" si="14"/>
        <v>Completed</v>
      </c>
      <c r="K170" s="10" t="str">
        <f t="shared" si="15"/>
        <v>MGQ-NBO</v>
      </c>
      <c r="L170" s="10" t="str">
        <f t="shared" si="16"/>
        <v>ABK00177</v>
      </c>
    </row>
    <row r="171" spans="1:12">
      <c r="A171" t="s">
        <v>272</v>
      </c>
      <c r="B171" s="5">
        <v>45661</v>
      </c>
      <c r="C171" t="s">
        <v>18</v>
      </c>
      <c r="D171" t="s">
        <v>9</v>
      </c>
      <c r="E171" t="s">
        <v>10</v>
      </c>
      <c r="F171" s="7">
        <v>266.04000000000002</v>
      </c>
      <c r="G171" t="s">
        <v>14</v>
      </c>
      <c r="H171" t="str">
        <f t="shared" si="12"/>
        <v>Adult</v>
      </c>
      <c r="I171" t="str">
        <f t="shared" si="13"/>
        <v>Economy</v>
      </c>
      <c r="J171" t="str">
        <f t="shared" si="14"/>
        <v>Completed</v>
      </c>
      <c r="K171" s="10" t="str">
        <f t="shared" si="15"/>
        <v>MGQ-NBO</v>
      </c>
      <c r="L171" s="10" t="str">
        <f t="shared" si="16"/>
        <v>ABK00178</v>
      </c>
    </row>
    <row r="172" spans="1:12">
      <c r="A172" t="s">
        <v>28</v>
      </c>
      <c r="B172" s="5">
        <v>45852</v>
      </c>
      <c r="C172" t="s">
        <v>18</v>
      </c>
      <c r="D172" t="s">
        <v>9</v>
      </c>
      <c r="E172" t="s">
        <v>10</v>
      </c>
      <c r="F172" s="7">
        <v>194.56</v>
      </c>
      <c r="G172" t="s">
        <v>14</v>
      </c>
      <c r="H172" t="str">
        <f t="shared" si="12"/>
        <v>Adult</v>
      </c>
      <c r="I172" t="str">
        <f t="shared" si="13"/>
        <v>Economy</v>
      </c>
      <c r="J172" t="str">
        <f t="shared" si="14"/>
        <v>Completed</v>
      </c>
      <c r="K172" s="10" t="str">
        <f t="shared" si="15"/>
        <v>MGQ-NBO</v>
      </c>
      <c r="L172" s="10" t="str">
        <f t="shared" si="16"/>
        <v>ABK00179</v>
      </c>
    </row>
    <row r="173" spans="1:12">
      <c r="A173" t="s">
        <v>297</v>
      </c>
      <c r="B173" s="5">
        <v>45661</v>
      </c>
      <c r="C173" t="s">
        <v>18</v>
      </c>
      <c r="D173" t="s">
        <v>16</v>
      </c>
      <c r="E173" t="s">
        <v>10</v>
      </c>
      <c r="F173" s="7">
        <v>243.14</v>
      </c>
      <c r="G173" t="s">
        <v>14</v>
      </c>
      <c r="H173" t="str">
        <f t="shared" si="12"/>
        <v>Child</v>
      </c>
      <c r="I173" t="str">
        <f t="shared" si="13"/>
        <v>Economy</v>
      </c>
      <c r="J173" t="str">
        <f t="shared" si="14"/>
        <v>Completed</v>
      </c>
      <c r="K173" s="10" t="str">
        <f t="shared" si="15"/>
        <v>MGQ-NBO</v>
      </c>
      <c r="L173" s="10" t="str">
        <f t="shared" si="16"/>
        <v>ABK00180</v>
      </c>
    </row>
    <row r="174" spans="1:12">
      <c r="A174" t="s">
        <v>129</v>
      </c>
      <c r="B174" s="5">
        <v>45996</v>
      </c>
      <c r="C174" t="s">
        <v>13</v>
      </c>
      <c r="D174" t="s">
        <v>9</v>
      </c>
      <c r="E174" t="s">
        <v>10</v>
      </c>
      <c r="F174" s="7">
        <v>277.38</v>
      </c>
      <c r="G174" t="s">
        <v>14</v>
      </c>
      <c r="H174" t="str">
        <f t="shared" si="12"/>
        <v>Adult</v>
      </c>
      <c r="I174" t="str">
        <f t="shared" si="13"/>
        <v>Economy</v>
      </c>
      <c r="J174" t="str">
        <f t="shared" si="14"/>
        <v>Completed</v>
      </c>
      <c r="K174" s="10" t="str">
        <f t="shared" si="15"/>
        <v>MGQ-ADD</v>
      </c>
      <c r="L174" s="10" t="str">
        <f t="shared" si="16"/>
        <v>ABK00181</v>
      </c>
    </row>
    <row r="175" spans="1:12">
      <c r="A175" t="s">
        <v>262</v>
      </c>
      <c r="B175" s="5">
        <v>45935</v>
      </c>
      <c r="C175" t="s">
        <v>8</v>
      </c>
      <c r="D175" t="s">
        <v>9</v>
      </c>
      <c r="E175" t="s">
        <v>33</v>
      </c>
      <c r="F175" s="7">
        <v>203.29</v>
      </c>
      <c r="G175" t="s">
        <v>14</v>
      </c>
      <c r="H175" t="str">
        <f t="shared" si="12"/>
        <v>Adult</v>
      </c>
      <c r="I175" t="str">
        <f t="shared" si="13"/>
        <v>Business</v>
      </c>
      <c r="J175" t="str">
        <f t="shared" si="14"/>
        <v>Completed</v>
      </c>
      <c r="K175" s="10" t="str">
        <f t="shared" si="15"/>
        <v>MGQ-HGA</v>
      </c>
      <c r="L175" s="10" t="str">
        <f t="shared" si="16"/>
        <v>ABK00182</v>
      </c>
    </row>
    <row r="176" spans="1:12">
      <c r="A176" t="s">
        <v>151</v>
      </c>
      <c r="B176" s="5">
        <v>46208</v>
      </c>
      <c r="C176" t="s">
        <v>32</v>
      </c>
      <c r="D176" t="s">
        <v>16</v>
      </c>
      <c r="E176" t="s">
        <v>10</v>
      </c>
      <c r="F176" s="7">
        <v>127.62</v>
      </c>
      <c r="G176" t="s">
        <v>14</v>
      </c>
      <c r="H176" t="str">
        <f t="shared" si="12"/>
        <v>Child</v>
      </c>
      <c r="I176" t="str">
        <f t="shared" si="13"/>
        <v>Economy</v>
      </c>
      <c r="J176" t="str">
        <f t="shared" si="14"/>
        <v>Completed</v>
      </c>
      <c r="K176" s="10" t="str">
        <f t="shared" si="15"/>
        <v>MGQ-BSA</v>
      </c>
      <c r="L176" s="10" t="str">
        <f t="shared" si="16"/>
        <v>ABK00183</v>
      </c>
    </row>
    <row r="177" spans="1:12">
      <c r="A177" t="s">
        <v>170</v>
      </c>
      <c r="B177" s="5">
        <v>46214</v>
      </c>
      <c r="C177" t="s">
        <v>13</v>
      </c>
      <c r="D177" t="s">
        <v>9</v>
      </c>
      <c r="E177" t="s">
        <v>33</v>
      </c>
      <c r="F177" s="7">
        <v>199.01</v>
      </c>
      <c r="G177" t="s">
        <v>14</v>
      </c>
      <c r="H177" t="str">
        <f t="shared" si="12"/>
        <v>Adult</v>
      </c>
      <c r="I177" t="str">
        <f t="shared" si="13"/>
        <v>Business</v>
      </c>
      <c r="J177" t="str">
        <f t="shared" si="14"/>
        <v>Completed</v>
      </c>
      <c r="K177" s="10" t="str">
        <f t="shared" si="15"/>
        <v>MGQ-ADD</v>
      </c>
      <c r="L177" s="10" t="str">
        <f t="shared" si="16"/>
        <v>ABK00185</v>
      </c>
    </row>
    <row r="178" spans="1:12">
      <c r="A178" t="s">
        <v>15</v>
      </c>
      <c r="B178" s="5">
        <v>45836</v>
      </c>
      <c r="C178" t="s">
        <v>13</v>
      </c>
      <c r="D178" t="s">
        <v>16</v>
      </c>
      <c r="E178" t="s">
        <v>10</v>
      </c>
      <c r="F178" s="7">
        <v>266.49</v>
      </c>
      <c r="G178" t="s">
        <v>14</v>
      </c>
      <c r="H178" t="str">
        <f t="shared" si="12"/>
        <v>Child</v>
      </c>
      <c r="I178" t="str">
        <f t="shared" si="13"/>
        <v>Economy</v>
      </c>
      <c r="J178" t="str">
        <f t="shared" si="14"/>
        <v>Completed</v>
      </c>
      <c r="K178" s="10" t="str">
        <f t="shared" si="15"/>
        <v>MGQ-ADD</v>
      </c>
      <c r="L178" s="10" t="str">
        <f t="shared" si="16"/>
        <v>ABK00187</v>
      </c>
    </row>
    <row r="179" spans="1:12">
      <c r="A179" t="s">
        <v>106</v>
      </c>
      <c r="B179" s="5">
        <v>45771</v>
      </c>
      <c r="C179" t="s">
        <v>13</v>
      </c>
      <c r="D179" t="s">
        <v>9</v>
      </c>
      <c r="E179" t="s">
        <v>10</v>
      </c>
      <c r="F179" s="7">
        <v>228.9</v>
      </c>
      <c r="G179" t="s">
        <v>14</v>
      </c>
      <c r="H179" t="str">
        <f t="shared" si="12"/>
        <v>Adult</v>
      </c>
      <c r="I179" t="str">
        <f t="shared" si="13"/>
        <v>Economy</v>
      </c>
      <c r="J179" t="str">
        <f t="shared" si="14"/>
        <v>Completed</v>
      </c>
      <c r="K179" s="10" t="str">
        <f t="shared" si="15"/>
        <v>MGQ-ADD</v>
      </c>
      <c r="L179" s="10" t="str">
        <f t="shared" si="16"/>
        <v>ABK00188</v>
      </c>
    </row>
    <row r="180" spans="1:12">
      <c r="A180" t="s">
        <v>302</v>
      </c>
      <c r="B180" s="5">
        <v>45661</v>
      </c>
      <c r="C180" t="s">
        <v>13</v>
      </c>
      <c r="D180" t="s">
        <v>22</v>
      </c>
      <c r="E180" t="s">
        <v>10</v>
      </c>
      <c r="F180" s="7">
        <v>244.48</v>
      </c>
      <c r="G180" t="s">
        <v>11</v>
      </c>
      <c r="H180" t="str">
        <f t="shared" si="12"/>
        <v>Senior</v>
      </c>
      <c r="I180" t="str">
        <f t="shared" si="13"/>
        <v>Economy</v>
      </c>
      <c r="J180" t="str">
        <f t="shared" si="14"/>
        <v>Confirmed</v>
      </c>
      <c r="K180" s="10" t="str">
        <f t="shared" si="15"/>
        <v>MGQ-ADD</v>
      </c>
      <c r="L180" s="10" t="str">
        <f t="shared" si="16"/>
        <v>ABK00189</v>
      </c>
    </row>
    <row r="181" spans="1:12">
      <c r="A181" t="s">
        <v>72</v>
      </c>
      <c r="B181" s="5">
        <v>46040</v>
      </c>
      <c r="C181" t="s">
        <v>13</v>
      </c>
      <c r="D181" t="s">
        <v>16</v>
      </c>
      <c r="E181" t="s">
        <v>10</v>
      </c>
      <c r="F181" s="7">
        <v>254.76</v>
      </c>
      <c r="G181" t="s">
        <v>14</v>
      </c>
      <c r="H181" t="str">
        <f t="shared" si="12"/>
        <v>Child</v>
      </c>
      <c r="I181" t="str">
        <f t="shared" si="13"/>
        <v>Economy</v>
      </c>
      <c r="J181" t="str">
        <f t="shared" si="14"/>
        <v>Completed</v>
      </c>
      <c r="K181" s="10" t="str">
        <f t="shared" si="15"/>
        <v>MGQ-ADD</v>
      </c>
      <c r="L181" s="10" t="str">
        <f t="shared" si="16"/>
        <v>ABK00190</v>
      </c>
    </row>
    <row r="182" spans="1:12">
      <c r="A182" t="s">
        <v>224</v>
      </c>
      <c r="B182" s="5">
        <v>45928</v>
      </c>
      <c r="C182" t="s">
        <v>18</v>
      </c>
      <c r="D182" t="s">
        <v>16</v>
      </c>
      <c r="E182" t="s">
        <v>10</v>
      </c>
      <c r="F182" s="7">
        <v>199.01</v>
      </c>
      <c r="G182" t="s">
        <v>14</v>
      </c>
      <c r="H182" t="str">
        <f t="shared" si="12"/>
        <v>Child</v>
      </c>
      <c r="I182" t="str">
        <f t="shared" si="13"/>
        <v>Economy</v>
      </c>
      <c r="J182" t="str">
        <f t="shared" si="14"/>
        <v>Completed</v>
      </c>
      <c r="K182" s="10" t="str">
        <f t="shared" si="15"/>
        <v>MGQ-NBO</v>
      </c>
      <c r="L182" s="10" t="str">
        <f t="shared" si="16"/>
        <v>ABK00191</v>
      </c>
    </row>
    <row r="183" spans="1:12">
      <c r="A183" t="s">
        <v>79</v>
      </c>
      <c r="B183" s="5">
        <v>46135</v>
      </c>
      <c r="C183" t="s">
        <v>32</v>
      </c>
      <c r="D183" t="s">
        <v>9</v>
      </c>
      <c r="E183" t="s">
        <v>10</v>
      </c>
      <c r="F183" s="7">
        <v>99.92</v>
      </c>
      <c r="G183" t="s">
        <v>46</v>
      </c>
      <c r="H183" t="str">
        <f t="shared" si="12"/>
        <v>Adult</v>
      </c>
      <c r="I183" t="str">
        <f t="shared" si="13"/>
        <v>Economy</v>
      </c>
      <c r="J183" t="str">
        <f t="shared" si="14"/>
        <v>Cancelled</v>
      </c>
      <c r="K183" s="10" t="str">
        <f t="shared" si="15"/>
        <v>MGQ-BSA</v>
      </c>
      <c r="L183" s="10" t="str">
        <f t="shared" si="16"/>
        <v>ABK00192</v>
      </c>
    </row>
    <row r="184" spans="1:12">
      <c r="A184" t="s">
        <v>172</v>
      </c>
      <c r="B184" s="5">
        <v>45663</v>
      </c>
      <c r="C184" t="s">
        <v>18</v>
      </c>
      <c r="D184" t="s">
        <v>9</v>
      </c>
      <c r="E184" t="s">
        <v>10</v>
      </c>
      <c r="F184" s="7">
        <v>257.51</v>
      </c>
      <c r="G184" t="s">
        <v>14</v>
      </c>
      <c r="H184" t="str">
        <f t="shared" si="12"/>
        <v>Adult</v>
      </c>
      <c r="I184" t="str">
        <f t="shared" si="13"/>
        <v>Economy</v>
      </c>
      <c r="J184" t="str">
        <f t="shared" si="14"/>
        <v>Completed</v>
      </c>
      <c r="K184" s="10" t="str">
        <f t="shared" si="15"/>
        <v>MGQ-NBO</v>
      </c>
      <c r="L184" s="10" t="str">
        <f t="shared" si="16"/>
        <v>ABK00194</v>
      </c>
    </row>
    <row r="185" spans="1:12">
      <c r="A185" t="s">
        <v>154</v>
      </c>
      <c r="B185" s="5">
        <v>45822</v>
      </c>
      <c r="C185" t="s">
        <v>18</v>
      </c>
      <c r="D185" t="s">
        <v>9</v>
      </c>
      <c r="E185" t="s">
        <v>10</v>
      </c>
      <c r="F185" s="7">
        <v>205.78</v>
      </c>
      <c r="G185" t="s">
        <v>46</v>
      </c>
      <c r="H185" t="str">
        <f t="shared" si="12"/>
        <v>Adult</v>
      </c>
      <c r="I185" t="str">
        <f t="shared" si="13"/>
        <v>Economy</v>
      </c>
      <c r="J185" t="str">
        <f t="shared" si="14"/>
        <v>Cancelled</v>
      </c>
      <c r="K185" s="10" t="str">
        <f t="shared" si="15"/>
        <v>MGQ-NBO</v>
      </c>
      <c r="L185" s="10" t="str">
        <f t="shared" si="16"/>
        <v>ABK00195</v>
      </c>
    </row>
    <row r="186" spans="1:12">
      <c r="A186" t="s">
        <v>59</v>
      </c>
      <c r="B186" s="5">
        <v>45661</v>
      </c>
      <c r="C186" t="s">
        <v>32</v>
      </c>
      <c r="D186" t="s">
        <v>16</v>
      </c>
      <c r="E186" t="s">
        <v>33</v>
      </c>
      <c r="F186" s="7">
        <v>192.44</v>
      </c>
      <c r="G186" t="s">
        <v>11</v>
      </c>
      <c r="H186" t="str">
        <f t="shared" si="12"/>
        <v>Child</v>
      </c>
      <c r="I186" t="str">
        <f t="shared" si="13"/>
        <v>Business</v>
      </c>
      <c r="J186" t="str">
        <f t="shared" si="14"/>
        <v>Confirmed</v>
      </c>
      <c r="K186" s="10" t="str">
        <f t="shared" si="15"/>
        <v>MGQ-BSA</v>
      </c>
      <c r="L186" s="10" t="str">
        <f t="shared" si="16"/>
        <v>ABK00196</v>
      </c>
    </row>
    <row r="187" spans="1:12">
      <c r="A187" t="s">
        <v>171</v>
      </c>
      <c r="B187" s="5">
        <v>46209</v>
      </c>
      <c r="C187" t="s">
        <v>18</v>
      </c>
      <c r="D187" t="s">
        <v>9</v>
      </c>
      <c r="E187" t="s">
        <v>10</v>
      </c>
      <c r="F187" s="7">
        <v>237.5</v>
      </c>
      <c r="G187" t="s">
        <v>14</v>
      </c>
      <c r="H187" t="str">
        <f t="shared" si="12"/>
        <v>Adult</v>
      </c>
      <c r="I187" t="str">
        <f t="shared" si="13"/>
        <v>Economy</v>
      </c>
      <c r="J187" t="str">
        <f t="shared" si="14"/>
        <v>Completed</v>
      </c>
      <c r="K187" s="10" t="str">
        <f t="shared" si="15"/>
        <v>MGQ-NBO</v>
      </c>
      <c r="L187" s="10" t="str">
        <f t="shared" si="16"/>
        <v>ABK00197</v>
      </c>
    </row>
    <row r="188" spans="1:12">
      <c r="A188" t="s">
        <v>261</v>
      </c>
      <c r="B188" s="5">
        <v>46160</v>
      </c>
      <c r="C188" t="s">
        <v>13</v>
      </c>
      <c r="D188" t="s">
        <v>16</v>
      </c>
      <c r="E188" t="s">
        <v>10</v>
      </c>
      <c r="F188" s="7">
        <v>287.48</v>
      </c>
      <c r="G188" t="s">
        <v>11</v>
      </c>
      <c r="H188" t="str">
        <f t="shared" si="12"/>
        <v>Child</v>
      </c>
      <c r="I188" t="str">
        <f t="shared" si="13"/>
        <v>Economy</v>
      </c>
      <c r="J188" t="str">
        <f t="shared" si="14"/>
        <v>Confirmed</v>
      </c>
      <c r="K188" s="10" t="str">
        <f t="shared" si="15"/>
        <v>MGQ-ADD</v>
      </c>
      <c r="L188" s="10" t="str">
        <f t="shared" si="16"/>
        <v>ABK00198</v>
      </c>
    </row>
    <row r="189" spans="1:12">
      <c r="A189" t="s">
        <v>142</v>
      </c>
      <c r="B189" s="5">
        <v>45663</v>
      </c>
      <c r="C189" t="s">
        <v>18</v>
      </c>
      <c r="D189" t="s">
        <v>22</v>
      </c>
      <c r="E189" t="s">
        <v>10</v>
      </c>
      <c r="F189" s="7">
        <v>213.92</v>
      </c>
      <c r="G189" t="s">
        <v>14</v>
      </c>
      <c r="H189" t="str">
        <f t="shared" si="12"/>
        <v>Senior</v>
      </c>
      <c r="I189" t="str">
        <f t="shared" si="13"/>
        <v>Economy</v>
      </c>
      <c r="J189" t="str">
        <f t="shared" si="14"/>
        <v>Completed</v>
      </c>
      <c r="K189" s="10" t="str">
        <f t="shared" si="15"/>
        <v>MGQ-NBO</v>
      </c>
      <c r="L189" s="10" t="str">
        <f t="shared" si="16"/>
        <v>ABK00199</v>
      </c>
    </row>
    <row r="190" spans="1:12">
      <c r="A190" t="s">
        <v>196</v>
      </c>
      <c r="B190" s="5">
        <v>45680</v>
      </c>
      <c r="C190" t="s">
        <v>18</v>
      </c>
      <c r="D190" t="s">
        <v>9</v>
      </c>
      <c r="E190" t="s">
        <v>10</v>
      </c>
      <c r="F190" s="7">
        <v>258.45999999999998</v>
      </c>
      <c r="G190" t="s">
        <v>14</v>
      </c>
      <c r="H190" t="str">
        <f t="shared" si="12"/>
        <v>Adult</v>
      </c>
      <c r="I190" t="str">
        <f t="shared" si="13"/>
        <v>Economy</v>
      </c>
      <c r="J190" t="str">
        <f t="shared" si="14"/>
        <v>Completed</v>
      </c>
      <c r="K190" s="10" t="str">
        <f t="shared" si="15"/>
        <v>MGQ-NBO</v>
      </c>
      <c r="L190" s="10" t="str">
        <f t="shared" si="16"/>
        <v>ABK00200</v>
      </c>
    </row>
    <row r="191" spans="1:12">
      <c r="A191" t="s">
        <v>126</v>
      </c>
      <c r="B191" s="5">
        <v>46210</v>
      </c>
      <c r="C191" t="s">
        <v>18</v>
      </c>
      <c r="D191" t="s">
        <v>9</v>
      </c>
      <c r="E191" t="s">
        <v>10</v>
      </c>
      <c r="F191" s="7">
        <v>193.73</v>
      </c>
      <c r="G191" t="s">
        <v>14</v>
      </c>
      <c r="H191" t="str">
        <f t="shared" si="12"/>
        <v>Adult</v>
      </c>
      <c r="I191" t="str">
        <f t="shared" si="13"/>
        <v>Economy</v>
      </c>
      <c r="J191" t="str">
        <f t="shared" si="14"/>
        <v>Completed</v>
      </c>
      <c r="K191" s="10" t="str">
        <f t="shared" si="15"/>
        <v>MGQ-NBO</v>
      </c>
      <c r="L191" s="10" t="str">
        <f t="shared" si="16"/>
        <v>ABK00201</v>
      </c>
    </row>
    <row r="192" spans="1:12">
      <c r="A192" t="s">
        <v>103</v>
      </c>
      <c r="B192" s="5">
        <v>45938</v>
      </c>
      <c r="C192" t="s">
        <v>18</v>
      </c>
      <c r="D192" t="s">
        <v>9</v>
      </c>
      <c r="E192" t="s">
        <v>104</v>
      </c>
      <c r="F192" s="7">
        <v>382.28</v>
      </c>
      <c r="G192" t="s">
        <v>14</v>
      </c>
      <c r="H192" t="str">
        <f t="shared" si="12"/>
        <v>Adult</v>
      </c>
      <c r="I192" t="str">
        <f t="shared" si="13"/>
        <v>Business</v>
      </c>
      <c r="J192" t="str">
        <f t="shared" si="14"/>
        <v>Completed</v>
      </c>
      <c r="K192" s="10" t="str">
        <f t="shared" si="15"/>
        <v>MGQ-NBO</v>
      </c>
      <c r="L192" s="10" t="str">
        <f t="shared" si="16"/>
        <v>ABK00202</v>
      </c>
    </row>
    <row r="193" spans="1:12">
      <c r="A193" t="s">
        <v>296</v>
      </c>
      <c r="B193" s="5">
        <v>46151</v>
      </c>
      <c r="C193" t="s">
        <v>32</v>
      </c>
      <c r="D193" t="s">
        <v>22</v>
      </c>
      <c r="E193" t="s">
        <v>10</v>
      </c>
      <c r="F193" s="7">
        <v>100.83</v>
      </c>
      <c r="G193" t="s">
        <v>14</v>
      </c>
      <c r="H193" t="str">
        <f t="shared" si="12"/>
        <v>Senior</v>
      </c>
      <c r="I193" t="str">
        <f t="shared" si="13"/>
        <v>Economy</v>
      </c>
      <c r="J193" t="str">
        <f t="shared" si="14"/>
        <v>Completed</v>
      </c>
      <c r="K193" s="10" t="str">
        <f t="shared" si="15"/>
        <v>MGQ-BSA</v>
      </c>
      <c r="L193" s="10" t="str">
        <f t="shared" si="16"/>
        <v>ABK00203</v>
      </c>
    </row>
    <row r="194" spans="1:12">
      <c r="A194" t="s">
        <v>152</v>
      </c>
      <c r="B194" s="5">
        <v>45702</v>
      </c>
      <c r="C194" t="s">
        <v>32</v>
      </c>
      <c r="D194" t="s">
        <v>9</v>
      </c>
      <c r="E194" t="s">
        <v>10</v>
      </c>
      <c r="F194" s="7">
        <v>133.18</v>
      </c>
      <c r="G194" t="s">
        <v>14</v>
      </c>
      <c r="H194" t="str">
        <f t="shared" ref="H194:H257" si="17">PROPER(D194)</f>
        <v>Adult</v>
      </c>
      <c r="I194" t="str">
        <f t="shared" ref="I194:I257" si="18">PROPER(E194)</f>
        <v>Economy</v>
      </c>
      <c r="J194" t="str">
        <f t="shared" ref="J194:J257" si="19">PROPER(G194)</f>
        <v>Completed</v>
      </c>
      <c r="K194" s="10" t="str">
        <f t="shared" si="15"/>
        <v>MGQ-BSA</v>
      </c>
      <c r="L194" s="10" t="str">
        <f t="shared" si="16"/>
        <v>ABK00204</v>
      </c>
    </row>
    <row r="195" spans="1:12">
      <c r="A195" t="s">
        <v>258</v>
      </c>
      <c r="B195" s="5">
        <v>45697</v>
      </c>
      <c r="C195" t="s">
        <v>24</v>
      </c>
      <c r="D195" t="s">
        <v>9</v>
      </c>
      <c r="E195" t="s">
        <v>10</v>
      </c>
      <c r="F195" s="7">
        <v>107.13</v>
      </c>
      <c r="G195" t="s">
        <v>11</v>
      </c>
      <c r="H195" t="str">
        <f t="shared" si="17"/>
        <v>Adult</v>
      </c>
      <c r="I195" t="str">
        <f t="shared" si="18"/>
        <v>Economy</v>
      </c>
      <c r="J195" t="str">
        <f t="shared" si="19"/>
        <v>Confirmed</v>
      </c>
      <c r="K195" s="10" t="str">
        <f t="shared" ref="K195:K258" si="20">UPPER(C195:C485)</f>
        <v>MGQ-KMU</v>
      </c>
      <c r="L195" s="10" t="str">
        <f t="shared" ref="L195:L258" si="21">TRIM(A195:A485)</f>
        <v>ABK00205</v>
      </c>
    </row>
    <row r="196" spans="1:12">
      <c r="A196" t="s">
        <v>51</v>
      </c>
      <c r="B196" s="5">
        <v>45770</v>
      </c>
      <c r="C196" t="s">
        <v>18</v>
      </c>
      <c r="D196" t="s">
        <v>9</v>
      </c>
      <c r="E196" t="s">
        <v>10</v>
      </c>
      <c r="F196" s="7">
        <v>215.11</v>
      </c>
      <c r="G196" t="s">
        <v>11</v>
      </c>
      <c r="H196" t="str">
        <f t="shared" si="17"/>
        <v>Adult</v>
      </c>
      <c r="I196" t="str">
        <f t="shared" si="18"/>
        <v>Economy</v>
      </c>
      <c r="J196" t="str">
        <f t="shared" si="19"/>
        <v>Confirmed</v>
      </c>
      <c r="K196" s="10" t="str">
        <f t="shared" si="20"/>
        <v>MGQ-NBO</v>
      </c>
      <c r="L196" s="10" t="str">
        <f t="shared" si="21"/>
        <v>ABK00206</v>
      </c>
    </row>
    <row r="197" spans="1:12">
      <c r="A197" t="s">
        <v>157</v>
      </c>
      <c r="B197" s="5">
        <v>46020</v>
      </c>
      <c r="C197" t="s">
        <v>32</v>
      </c>
      <c r="D197" t="s">
        <v>16</v>
      </c>
      <c r="E197" t="s">
        <v>10</v>
      </c>
      <c r="F197" s="7">
        <v>106.73</v>
      </c>
      <c r="G197" t="s">
        <v>14</v>
      </c>
      <c r="H197" t="str">
        <f t="shared" si="17"/>
        <v>Child</v>
      </c>
      <c r="I197" t="str">
        <f t="shared" si="18"/>
        <v>Economy</v>
      </c>
      <c r="J197" t="str">
        <f t="shared" si="19"/>
        <v>Completed</v>
      </c>
      <c r="K197" s="10" t="str">
        <f t="shared" si="20"/>
        <v>MGQ-BSA</v>
      </c>
      <c r="L197" s="10" t="str">
        <f t="shared" si="21"/>
        <v>ABK00207</v>
      </c>
    </row>
    <row r="198" spans="1:12">
      <c r="A198" t="s">
        <v>304</v>
      </c>
      <c r="B198" s="5">
        <v>45792</v>
      </c>
      <c r="C198" t="s">
        <v>32</v>
      </c>
      <c r="D198" t="s">
        <v>9</v>
      </c>
      <c r="E198" t="s">
        <v>84</v>
      </c>
      <c r="F198" s="7">
        <v>115.45</v>
      </c>
      <c r="G198" t="s">
        <v>46</v>
      </c>
      <c r="H198" t="str">
        <f t="shared" si="17"/>
        <v>Adult</v>
      </c>
      <c r="I198" t="str">
        <f t="shared" si="18"/>
        <v>Unknown</v>
      </c>
      <c r="J198" t="str">
        <f t="shared" si="19"/>
        <v>Cancelled</v>
      </c>
      <c r="K198" s="10" t="str">
        <f t="shared" si="20"/>
        <v>MGQ-BSA</v>
      </c>
      <c r="L198" s="10" t="str">
        <f t="shared" si="21"/>
        <v>ABK00208</v>
      </c>
    </row>
    <row r="199" spans="1:12">
      <c r="A199" t="s">
        <v>34</v>
      </c>
      <c r="B199" s="5">
        <v>46144</v>
      </c>
      <c r="C199" t="s">
        <v>8</v>
      </c>
      <c r="D199" t="s">
        <v>9</v>
      </c>
      <c r="E199" t="s">
        <v>10</v>
      </c>
      <c r="F199" s="7">
        <v>105.01</v>
      </c>
      <c r="G199" t="s">
        <v>84</v>
      </c>
      <c r="H199" t="str">
        <f t="shared" si="17"/>
        <v>Adult</v>
      </c>
      <c r="I199" t="str">
        <f t="shared" si="18"/>
        <v>Economy</v>
      </c>
      <c r="J199" t="str">
        <f t="shared" si="19"/>
        <v>Unknown</v>
      </c>
      <c r="K199" s="10" t="str">
        <f t="shared" si="20"/>
        <v>MGQ-HGA</v>
      </c>
      <c r="L199" s="10" t="str">
        <f t="shared" si="21"/>
        <v>ABK00209</v>
      </c>
    </row>
    <row r="200" spans="1:12">
      <c r="A200" t="s">
        <v>48</v>
      </c>
      <c r="B200" s="5">
        <v>45758</v>
      </c>
      <c r="C200" t="s">
        <v>8</v>
      </c>
      <c r="D200" t="s">
        <v>9</v>
      </c>
      <c r="E200" t="s">
        <v>33</v>
      </c>
      <c r="F200" s="7">
        <v>222.33</v>
      </c>
      <c r="G200" t="s">
        <v>14</v>
      </c>
      <c r="H200" t="str">
        <f t="shared" si="17"/>
        <v>Adult</v>
      </c>
      <c r="I200" t="str">
        <f t="shared" si="18"/>
        <v>Business</v>
      </c>
      <c r="J200" t="str">
        <f t="shared" si="19"/>
        <v>Completed</v>
      </c>
      <c r="K200" s="10" t="str">
        <f t="shared" si="20"/>
        <v>MGQ-HGA</v>
      </c>
      <c r="L200" s="10" t="str">
        <f t="shared" si="21"/>
        <v>ABK00210</v>
      </c>
    </row>
    <row r="201" spans="1:12">
      <c r="A201" t="s">
        <v>166</v>
      </c>
      <c r="B201" s="5">
        <v>45702</v>
      </c>
      <c r="C201" t="s">
        <v>18</v>
      </c>
      <c r="D201" t="s">
        <v>9</v>
      </c>
      <c r="E201" t="s">
        <v>10</v>
      </c>
      <c r="F201" s="7">
        <v>228.1</v>
      </c>
      <c r="G201" t="s">
        <v>14</v>
      </c>
      <c r="H201" t="str">
        <f t="shared" si="17"/>
        <v>Adult</v>
      </c>
      <c r="I201" t="str">
        <f t="shared" si="18"/>
        <v>Economy</v>
      </c>
      <c r="J201" t="str">
        <f t="shared" si="19"/>
        <v>Completed</v>
      </c>
      <c r="K201" s="10" t="str">
        <f t="shared" si="20"/>
        <v>MGQ-NBO</v>
      </c>
      <c r="L201" s="10" t="str">
        <f t="shared" si="21"/>
        <v>ABK00211</v>
      </c>
    </row>
    <row r="202" spans="1:12">
      <c r="A202" t="s">
        <v>88</v>
      </c>
      <c r="B202" s="5">
        <v>45943</v>
      </c>
      <c r="C202" t="s">
        <v>18</v>
      </c>
      <c r="D202" t="s">
        <v>9</v>
      </c>
      <c r="E202" t="s">
        <v>10</v>
      </c>
      <c r="F202" s="7">
        <v>199.01</v>
      </c>
      <c r="G202" t="s">
        <v>14</v>
      </c>
      <c r="H202" t="str">
        <f t="shared" si="17"/>
        <v>Adult</v>
      </c>
      <c r="I202" t="str">
        <f t="shared" si="18"/>
        <v>Economy</v>
      </c>
      <c r="J202" t="str">
        <f t="shared" si="19"/>
        <v>Completed</v>
      </c>
      <c r="K202" s="10" t="str">
        <f t="shared" si="20"/>
        <v>MGQ-NBO</v>
      </c>
      <c r="L202" s="10" t="str">
        <f t="shared" si="21"/>
        <v>ABK00212</v>
      </c>
    </row>
    <row r="203" spans="1:12">
      <c r="A203" t="s">
        <v>276</v>
      </c>
      <c r="B203" s="5">
        <v>45846</v>
      </c>
      <c r="C203" t="s">
        <v>13</v>
      </c>
      <c r="D203" t="s">
        <v>9</v>
      </c>
      <c r="E203" t="s">
        <v>10</v>
      </c>
      <c r="F203" s="7">
        <v>291.02</v>
      </c>
      <c r="G203" t="s">
        <v>46</v>
      </c>
      <c r="H203" t="str">
        <f t="shared" si="17"/>
        <v>Adult</v>
      </c>
      <c r="I203" t="str">
        <f t="shared" si="18"/>
        <v>Economy</v>
      </c>
      <c r="J203" t="str">
        <f t="shared" si="19"/>
        <v>Cancelled</v>
      </c>
      <c r="K203" s="10" t="str">
        <f t="shared" si="20"/>
        <v>MGQ-ADD</v>
      </c>
      <c r="L203" s="10" t="str">
        <f t="shared" si="21"/>
        <v>ABK00213</v>
      </c>
    </row>
    <row r="204" spans="1:12">
      <c r="A204" t="s">
        <v>35</v>
      </c>
      <c r="B204" s="5">
        <v>45660</v>
      </c>
      <c r="C204" t="s">
        <v>32</v>
      </c>
      <c r="D204" t="s">
        <v>9</v>
      </c>
      <c r="E204" t="s">
        <v>33</v>
      </c>
      <c r="F204" s="7">
        <v>218.33</v>
      </c>
      <c r="G204" t="s">
        <v>14</v>
      </c>
      <c r="H204" t="str">
        <f t="shared" si="17"/>
        <v>Adult</v>
      </c>
      <c r="I204" t="str">
        <f t="shared" si="18"/>
        <v>Business</v>
      </c>
      <c r="J204" t="str">
        <f t="shared" si="19"/>
        <v>Completed</v>
      </c>
      <c r="K204" s="10" t="str">
        <f t="shared" si="20"/>
        <v>MGQ-BSA</v>
      </c>
      <c r="L204" s="10" t="str">
        <f t="shared" si="21"/>
        <v>ABK00214</v>
      </c>
    </row>
    <row r="205" spans="1:12">
      <c r="A205" t="s">
        <v>92</v>
      </c>
      <c r="B205" s="5">
        <v>46018</v>
      </c>
      <c r="C205" t="s">
        <v>84</v>
      </c>
      <c r="D205" t="s">
        <v>16</v>
      </c>
      <c r="E205" t="s">
        <v>10</v>
      </c>
      <c r="F205" s="7">
        <v>110.77</v>
      </c>
      <c r="G205" t="s">
        <v>11</v>
      </c>
      <c r="H205" t="str">
        <f t="shared" si="17"/>
        <v>Child</v>
      </c>
      <c r="I205" t="str">
        <f t="shared" si="18"/>
        <v>Economy</v>
      </c>
      <c r="J205" t="str">
        <f t="shared" si="19"/>
        <v>Confirmed</v>
      </c>
      <c r="K205" s="10" t="str">
        <f t="shared" si="20"/>
        <v>UNKNOWN</v>
      </c>
      <c r="L205" s="10" t="str">
        <f t="shared" si="21"/>
        <v>ABK00216</v>
      </c>
    </row>
    <row r="206" spans="1:12">
      <c r="A206" t="s">
        <v>168</v>
      </c>
      <c r="B206" s="5">
        <v>46187</v>
      </c>
      <c r="C206" t="s">
        <v>18</v>
      </c>
      <c r="D206" t="s">
        <v>9</v>
      </c>
      <c r="E206" t="s">
        <v>10</v>
      </c>
      <c r="F206" s="7">
        <v>215.51</v>
      </c>
      <c r="G206" t="s">
        <v>14</v>
      </c>
      <c r="H206" t="str">
        <f t="shared" si="17"/>
        <v>Adult</v>
      </c>
      <c r="I206" t="str">
        <f t="shared" si="18"/>
        <v>Economy</v>
      </c>
      <c r="J206" t="str">
        <f t="shared" si="19"/>
        <v>Completed</v>
      </c>
      <c r="K206" s="10" t="str">
        <f t="shared" si="20"/>
        <v>MGQ-NBO</v>
      </c>
      <c r="L206" s="10" t="str">
        <f t="shared" si="21"/>
        <v>ABK00217</v>
      </c>
    </row>
    <row r="207" spans="1:12">
      <c r="A207" t="s">
        <v>255</v>
      </c>
      <c r="B207" s="5">
        <v>45919</v>
      </c>
      <c r="C207" t="s">
        <v>8</v>
      </c>
      <c r="D207" t="s">
        <v>9</v>
      </c>
      <c r="E207" t="s">
        <v>10</v>
      </c>
      <c r="F207" s="7">
        <v>116.57</v>
      </c>
      <c r="G207" t="s">
        <v>84</v>
      </c>
      <c r="H207" t="str">
        <f t="shared" si="17"/>
        <v>Adult</v>
      </c>
      <c r="I207" t="str">
        <f t="shared" si="18"/>
        <v>Economy</v>
      </c>
      <c r="J207" t="str">
        <f t="shared" si="19"/>
        <v>Unknown</v>
      </c>
      <c r="K207" s="10" t="str">
        <f t="shared" si="20"/>
        <v>MGQ-HGA</v>
      </c>
      <c r="L207" s="10" t="str">
        <f t="shared" si="21"/>
        <v>ABK00218</v>
      </c>
    </row>
    <row r="208" spans="1:12">
      <c r="A208" t="s">
        <v>66</v>
      </c>
      <c r="B208" s="5">
        <v>45661</v>
      </c>
      <c r="C208" t="s">
        <v>32</v>
      </c>
      <c r="D208" t="s">
        <v>9</v>
      </c>
      <c r="E208" t="s">
        <v>10</v>
      </c>
      <c r="F208" s="7">
        <v>118.52</v>
      </c>
      <c r="G208" t="s">
        <v>14</v>
      </c>
      <c r="H208" t="str">
        <f t="shared" si="17"/>
        <v>Adult</v>
      </c>
      <c r="I208" t="str">
        <f t="shared" si="18"/>
        <v>Economy</v>
      </c>
      <c r="J208" t="str">
        <f t="shared" si="19"/>
        <v>Completed</v>
      </c>
      <c r="K208" s="10" t="str">
        <f t="shared" si="20"/>
        <v>MGQ-BSA</v>
      </c>
      <c r="L208" s="10" t="str">
        <f t="shared" si="21"/>
        <v>ABK00219</v>
      </c>
    </row>
    <row r="209" spans="1:12">
      <c r="A209" t="s">
        <v>185</v>
      </c>
      <c r="B209" s="5">
        <v>45776</v>
      </c>
      <c r="C209" t="s">
        <v>18</v>
      </c>
      <c r="D209" t="s">
        <v>9</v>
      </c>
      <c r="E209" t="s">
        <v>10</v>
      </c>
      <c r="F209" s="7">
        <v>259.44</v>
      </c>
      <c r="G209" t="s">
        <v>14</v>
      </c>
      <c r="H209" t="str">
        <f t="shared" si="17"/>
        <v>Adult</v>
      </c>
      <c r="I209" t="str">
        <f t="shared" si="18"/>
        <v>Economy</v>
      </c>
      <c r="J209" t="str">
        <f t="shared" si="19"/>
        <v>Completed</v>
      </c>
      <c r="K209" s="10" t="str">
        <f t="shared" si="20"/>
        <v>MGQ-NBO</v>
      </c>
      <c r="L209" s="10" t="str">
        <f t="shared" si="21"/>
        <v>ABK00220</v>
      </c>
    </row>
    <row r="210" spans="1:12">
      <c r="A210" t="s">
        <v>45</v>
      </c>
      <c r="B210" s="5">
        <v>45925</v>
      </c>
      <c r="C210" t="s">
        <v>8</v>
      </c>
      <c r="D210" t="s">
        <v>9</v>
      </c>
      <c r="E210" t="s">
        <v>10</v>
      </c>
      <c r="F210" s="7">
        <v>199.01</v>
      </c>
      <c r="G210" t="s">
        <v>46</v>
      </c>
      <c r="H210" t="str">
        <f t="shared" si="17"/>
        <v>Adult</v>
      </c>
      <c r="I210" t="str">
        <f t="shared" si="18"/>
        <v>Economy</v>
      </c>
      <c r="J210" t="str">
        <f t="shared" si="19"/>
        <v>Cancelled</v>
      </c>
      <c r="K210" s="10" t="str">
        <f t="shared" si="20"/>
        <v>MGQ-HGA</v>
      </c>
      <c r="L210" s="10" t="str">
        <f t="shared" si="21"/>
        <v>ABK00221</v>
      </c>
    </row>
    <row r="211" spans="1:12">
      <c r="A211" t="s">
        <v>121</v>
      </c>
      <c r="B211" s="5">
        <v>45704</v>
      </c>
      <c r="C211" t="s">
        <v>13</v>
      </c>
      <c r="D211" t="s">
        <v>9</v>
      </c>
      <c r="E211" t="s">
        <v>10</v>
      </c>
      <c r="F211" s="7">
        <v>262.62</v>
      </c>
      <c r="G211" t="s">
        <v>14</v>
      </c>
      <c r="H211" t="str">
        <f t="shared" si="17"/>
        <v>Adult</v>
      </c>
      <c r="I211" t="str">
        <f t="shared" si="18"/>
        <v>Economy</v>
      </c>
      <c r="J211" t="str">
        <f t="shared" si="19"/>
        <v>Completed</v>
      </c>
      <c r="K211" s="10" t="str">
        <f t="shared" si="20"/>
        <v>MGQ-ADD</v>
      </c>
      <c r="L211" s="10" t="str">
        <f t="shared" si="21"/>
        <v>ABK00222</v>
      </c>
    </row>
    <row r="212" spans="1:12">
      <c r="A212" t="s">
        <v>232</v>
      </c>
      <c r="B212" s="5">
        <v>46167</v>
      </c>
      <c r="C212" t="s">
        <v>8</v>
      </c>
      <c r="D212" t="s">
        <v>9</v>
      </c>
      <c r="E212" t="s">
        <v>10</v>
      </c>
      <c r="F212" s="7">
        <v>199.01</v>
      </c>
      <c r="G212" t="s">
        <v>14</v>
      </c>
      <c r="H212" t="str">
        <f t="shared" si="17"/>
        <v>Adult</v>
      </c>
      <c r="I212" t="str">
        <f t="shared" si="18"/>
        <v>Economy</v>
      </c>
      <c r="J212" t="str">
        <f t="shared" si="19"/>
        <v>Completed</v>
      </c>
      <c r="K212" s="10" t="str">
        <f t="shared" si="20"/>
        <v>MGQ-HGA</v>
      </c>
      <c r="L212" s="10" t="str">
        <f t="shared" si="21"/>
        <v>ABK00223</v>
      </c>
    </row>
    <row r="213" spans="1:12">
      <c r="A213" t="s">
        <v>57</v>
      </c>
      <c r="B213" s="5">
        <v>45800</v>
      </c>
      <c r="C213" t="s">
        <v>32</v>
      </c>
      <c r="D213" t="s">
        <v>9</v>
      </c>
      <c r="E213" t="s">
        <v>10</v>
      </c>
      <c r="F213" s="7">
        <v>101.11</v>
      </c>
      <c r="G213" t="s">
        <v>14</v>
      </c>
      <c r="H213" t="str">
        <f t="shared" si="17"/>
        <v>Adult</v>
      </c>
      <c r="I213" t="str">
        <f t="shared" si="18"/>
        <v>Economy</v>
      </c>
      <c r="J213" t="str">
        <f t="shared" si="19"/>
        <v>Completed</v>
      </c>
      <c r="K213" s="10" t="str">
        <f t="shared" si="20"/>
        <v>MGQ-BSA</v>
      </c>
      <c r="L213" s="10" t="str">
        <f t="shared" si="21"/>
        <v>ABK00224</v>
      </c>
    </row>
    <row r="214" spans="1:12">
      <c r="A214" t="s">
        <v>176</v>
      </c>
      <c r="B214" s="5">
        <v>46147</v>
      </c>
      <c r="C214" t="s">
        <v>84</v>
      </c>
      <c r="D214" t="s">
        <v>9</v>
      </c>
      <c r="E214" t="s">
        <v>10</v>
      </c>
      <c r="F214" s="7">
        <v>216.54</v>
      </c>
      <c r="G214" t="s">
        <v>14</v>
      </c>
      <c r="H214" t="str">
        <f t="shared" si="17"/>
        <v>Adult</v>
      </c>
      <c r="I214" t="str">
        <f t="shared" si="18"/>
        <v>Economy</v>
      </c>
      <c r="J214" t="str">
        <f t="shared" si="19"/>
        <v>Completed</v>
      </c>
      <c r="K214" s="10" t="str">
        <f t="shared" si="20"/>
        <v>UNKNOWN</v>
      </c>
      <c r="L214" s="10" t="str">
        <f t="shared" si="21"/>
        <v>ABK00225</v>
      </c>
    </row>
    <row r="215" spans="1:12">
      <c r="A215" t="s">
        <v>298</v>
      </c>
      <c r="B215" s="5">
        <v>45791</v>
      </c>
      <c r="C215" t="s">
        <v>18</v>
      </c>
      <c r="D215" t="s">
        <v>9</v>
      </c>
      <c r="E215" t="s">
        <v>33</v>
      </c>
      <c r="F215" s="7">
        <v>438.62</v>
      </c>
      <c r="G215" t="s">
        <v>14</v>
      </c>
      <c r="H215" t="str">
        <f t="shared" si="17"/>
        <v>Adult</v>
      </c>
      <c r="I215" t="str">
        <f t="shared" si="18"/>
        <v>Business</v>
      </c>
      <c r="J215" t="str">
        <f t="shared" si="19"/>
        <v>Completed</v>
      </c>
      <c r="K215" s="10" t="str">
        <f t="shared" si="20"/>
        <v>MGQ-NBO</v>
      </c>
      <c r="L215" s="10" t="str">
        <f t="shared" si="21"/>
        <v>ABK00226</v>
      </c>
    </row>
    <row r="216" spans="1:12">
      <c r="A216" t="s">
        <v>233</v>
      </c>
      <c r="B216" s="5">
        <v>45921</v>
      </c>
      <c r="C216" t="s">
        <v>18</v>
      </c>
      <c r="D216" t="s">
        <v>9</v>
      </c>
      <c r="E216" t="s">
        <v>10</v>
      </c>
      <c r="F216" s="7">
        <v>266.08999999999997</v>
      </c>
      <c r="G216" t="s">
        <v>84</v>
      </c>
      <c r="H216" t="str">
        <f t="shared" si="17"/>
        <v>Adult</v>
      </c>
      <c r="I216" t="str">
        <f t="shared" si="18"/>
        <v>Economy</v>
      </c>
      <c r="J216" t="str">
        <f t="shared" si="19"/>
        <v>Unknown</v>
      </c>
      <c r="K216" s="10" t="str">
        <f t="shared" si="20"/>
        <v>MGQ-NBO</v>
      </c>
      <c r="L216" s="10" t="str">
        <f t="shared" si="21"/>
        <v>ABK00227</v>
      </c>
    </row>
    <row r="217" spans="1:12">
      <c r="A217" t="s">
        <v>146</v>
      </c>
      <c r="B217" s="5">
        <v>45811</v>
      </c>
      <c r="C217" t="s">
        <v>32</v>
      </c>
      <c r="D217" t="s">
        <v>16</v>
      </c>
      <c r="E217" t="s">
        <v>10</v>
      </c>
      <c r="F217" s="7">
        <v>199.01</v>
      </c>
      <c r="G217" t="s">
        <v>14</v>
      </c>
      <c r="H217" t="str">
        <f t="shared" si="17"/>
        <v>Child</v>
      </c>
      <c r="I217" t="str">
        <f t="shared" si="18"/>
        <v>Economy</v>
      </c>
      <c r="J217" t="str">
        <f t="shared" si="19"/>
        <v>Completed</v>
      </c>
      <c r="K217" s="10" t="str">
        <f t="shared" si="20"/>
        <v>MGQ-BSA</v>
      </c>
      <c r="L217" s="10" t="str">
        <f t="shared" si="21"/>
        <v>ABK00228</v>
      </c>
    </row>
    <row r="218" spans="1:12">
      <c r="A218" t="s">
        <v>38</v>
      </c>
      <c r="B218" s="5">
        <v>46087</v>
      </c>
      <c r="C218" t="s">
        <v>8</v>
      </c>
      <c r="D218" t="s">
        <v>9</v>
      </c>
      <c r="E218" t="s">
        <v>10</v>
      </c>
      <c r="F218" s="7">
        <v>109.8</v>
      </c>
      <c r="G218" t="s">
        <v>11</v>
      </c>
      <c r="H218" t="str">
        <f t="shared" si="17"/>
        <v>Adult</v>
      </c>
      <c r="I218" t="str">
        <f t="shared" si="18"/>
        <v>Economy</v>
      </c>
      <c r="J218" t="str">
        <f t="shared" si="19"/>
        <v>Confirmed</v>
      </c>
      <c r="K218" s="10" t="str">
        <f t="shared" si="20"/>
        <v>MGQ-HGA</v>
      </c>
      <c r="L218" s="10" t="str">
        <f t="shared" si="21"/>
        <v>ABK00229</v>
      </c>
    </row>
    <row r="219" spans="1:12">
      <c r="A219" t="s">
        <v>69</v>
      </c>
      <c r="B219" s="5">
        <v>46020</v>
      </c>
      <c r="C219" t="s">
        <v>84</v>
      </c>
      <c r="D219" t="s">
        <v>9</v>
      </c>
      <c r="E219" t="s">
        <v>33</v>
      </c>
      <c r="F219" s="7">
        <v>413.39</v>
      </c>
      <c r="G219" t="s">
        <v>11</v>
      </c>
      <c r="H219" t="str">
        <f t="shared" si="17"/>
        <v>Adult</v>
      </c>
      <c r="I219" t="str">
        <f t="shared" si="18"/>
        <v>Business</v>
      </c>
      <c r="J219" t="str">
        <f t="shared" si="19"/>
        <v>Confirmed</v>
      </c>
      <c r="K219" s="10" t="str">
        <f t="shared" si="20"/>
        <v>UNKNOWN</v>
      </c>
      <c r="L219" s="10" t="str">
        <f t="shared" si="21"/>
        <v>ABK00230</v>
      </c>
    </row>
    <row r="220" spans="1:12">
      <c r="A220" t="s">
        <v>225</v>
      </c>
      <c r="B220" s="5">
        <v>45881</v>
      </c>
      <c r="C220" t="s">
        <v>13</v>
      </c>
      <c r="D220" t="s">
        <v>9</v>
      </c>
      <c r="E220" t="s">
        <v>10</v>
      </c>
      <c r="F220" s="7">
        <v>273.64</v>
      </c>
      <c r="G220" t="s">
        <v>14</v>
      </c>
      <c r="H220" t="str">
        <f t="shared" si="17"/>
        <v>Adult</v>
      </c>
      <c r="I220" t="str">
        <f t="shared" si="18"/>
        <v>Economy</v>
      </c>
      <c r="J220" t="str">
        <f t="shared" si="19"/>
        <v>Completed</v>
      </c>
      <c r="K220" s="10" t="str">
        <f t="shared" si="20"/>
        <v>MGQ-ADD</v>
      </c>
      <c r="L220" s="10" t="str">
        <f t="shared" si="21"/>
        <v>ABK00231</v>
      </c>
    </row>
    <row r="221" spans="1:12">
      <c r="A221" t="s">
        <v>295</v>
      </c>
      <c r="B221" s="5">
        <v>45982</v>
      </c>
      <c r="C221" t="s">
        <v>24</v>
      </c>
      <c r="D221" t="s">
        <v>9</v>
      </c>
      <c r="E221" t="s">
        <v>10</v>
      </c>
      <c r="F221" s="7">
        <v>96.72</v>
      </c>
      <c r="G221" t="s">
        <v>27</v>
      </c>
      <c r="H221" t="str">
        <f t="shared" si="17"/>
        <v>Adult</v>
      </c>
      <c r="I221" t="str">
        <f t="shared" si="18"/>
        <v>Economy</v>
      </c>
      <c r="J221" t="str">
        <f t="shared" si="19"/>
        <v>Cancelled</v>
      </c>
      <c r="K221" s="10" t="str">
        <f t="shared" si="20"/>
        <v>MGQ-KMU</v>
      </c>
      <c r="L221" s="10" t="str">
        <f t="shared" si="21"/>
        <v>ABK00232</v>
      </c>
    </row>
    <row r="222" spans="1:12">
      <c r="A222" t="s">
        <v>134</v>
      </c>
      <c r="B222" s="5">
        <v>45686</v>
      </c>
      <c r="C222" t="s">
        <v>32</v>
      </c>
      <c r="D222" t="s">
        <v>9</v>
      </c>
      <c r="E222" t="s">
        <v>10</v>
      </c>
      <c r="F222" s="7">
        <v>130.04</v>
      </c>
      <c r="G222" t="s">
        <v>14</v>
      </c>
      <c r="H222" t="str">
        <f t="shared" si="17"/>
        <v>Adult</v>
      </c>
      <c r="I222" t="str">
        <f t="shared" si="18"/>
        <v>Economy</v>
      </c>
      <c r="J222" t="str">
        <f t="shared" si="19"/>
        <v>Completed</v>
      </c>
      <c r="K222" s="10" t="str">
        <f t="shared" si="20"/>
        <v>MGQ-BSA</v>
      </c>
      <c r="L222" s="10" t="str">
        <f t="shared" si="21"/>
        <v>ABK00233</v>
      </c>
    </row>
    <row r="223" spans="1:12">
      <c r="A223" t="s">
        <v>135</v>
      </c>
      <c r="B223" s="5">
        <v>46117</v>
      </c>
      <c r="C223" t="s">
        <v>18</v>
      </c>
      <c r="D223" t="s">
        <v>9</v>
      </c>
      <c r="E223" t="s">
        <v>84</v>
      </c>
      <c r="F223" s="7">
        <v>240.98</v>
      </c>
      <c r="G223" t="s">
        <v>14</v>
      </c>
      <c r="H223" t="str">
        <f t="shared" si="17"/>
        <v>Adult</v>
      </c>
      <c r="I223" t="str">
        <f t="shared" si="18"/>
        <v>Unknown</v>
      </c>
      <c r="J223" t="str">
        <f t="shared" si="19"/>
        <v>Completed</v>
      </c>
      <c r="K223" s="10" t="str">
        <f t="shared" si="20"/>
        <v>MGQ-NBO</v>
      </c>
      <c r="L223" s="10" t="str">
        <f t="shared" si="21"/>
        <v>ABK00234</v>
      </c>
    </row>
    <row r="224" spans="1:12">
      <c r="A224" t="s">
        <v>215</v>
      </c>
      <c r="B224" s="5">
        <v>45896</v>
      </c>
      <c r="C224" t="s">
        <v>8</v>
      </c>
      <c r="D224" t="s">
        <v>22</v>
      </c>
      <c r="E224" t="s">
        <v>10</v>
      </c>
      <c r="F224" s="7">
        <v>83.73</v>
      </c>
      <c r="G224" t="s">
        <v>84</v>
      </c>
      <c r="H224" t="str">
        <f t="shared" si="17"/>
        <v>Senior</v>
      </c>
      <c r="I224" t="str">
        <f t="shared" si="18"/>
        <v>Economy</v>
      </c>
      <c r="J224" t="str">
        <f t="shared" si="19"/>
        <v>Unknown</v>
      </c>
      <c r="K224" s="10" t="str">
        <f t="shared" si="20"/>
        <v>MGQ-HGA</v>
      </c>
      <c r="L224" s="10" t="str">
        <f t="shared" si="21"/>
        <v>ABK00235</v>
      </c>
    </row>
    <row r="225" spans="1:12">
      <c r="A225" t="s">
        <v>119</v>
      </c>
      <c r="B225" s="5">
        <v>45681</v>
      </c>
      <c r="C225" t="s">
        <v>18</v>
      </c>
      <c r="D225" t="s">
        <v>9</v>
      </c>
      <c r="E225" t="s">
        <v>33</v>
      </c>
      <c r="F225" s="7">
        <v>454.37</v>
      </c>
      <c r="G225" t="s">
        <v>46</v>
      </c>
      <c r="H225" t="str">
        <f t="shared" si="17"/>
        <v>Adult</v>
      </c>
      <c r="I225" t="str">
        <f t="shared" si="18"/>
        <v>Business</v>
      </c>
      <c r="J225" t="str">
        <f t="shared" si="19"/>
        <v>Cancelled</v>
      </c>
      <c r="K225" s="10" t="str">
        <f t="shared" si="20"/>
        <v>MGQ-NBO</v>
      </c>
      <c r="L225" s="10" t="str">
        <f t="shared" si="21"/>
        <v>ABK00236</v>
      </c>
    </row>
    <row r="226" spans="1:12">
      <c r="A226" t="s">
        <v>82</v>
      </c>
      <c r="B226" s="5">
        <v>45858</v>
      </c>
      <c r="C226" t="s">
        <v>13</v>
      </c>
      <c r="D226" t="s">
        <v>9</v>
      </c>
      <c r="E226" t="s">
        <v>10</v>
      </c>
      <c r="F226" s="7">
        <v>242.01</v>
      </c>
      <c r="G226" t="s">
        <v>14</v>
      </c>
      <c r="H226" t="str">
        <f t="shared" si="17"/>
        <v>Adult</v>
      </c>
      <c r="I226" t="str">
        <f t="shared" si="18"/>
        <v>Economy</v>
      </c>
      <c r="J226" t="str">
        <f t="shared" si="19"/>
        <v>Completed</v>
      </c>
      <c r="K226" s="10" t="str">
        <f t="shared" si="20"/>
        <v>MGQ-ADD</v>
      </c>
      <c r="L226" s="10" t="str">
        <f t="shared" si="21"/>
        <v>ABK00237</v>
      </c>
    </row>
    <row r="227" spans="1:12">
      <c r="A227" t="s">
        <v>227</v>
      </c>
      <c r="B227" s="5">
        <v>45661</v>
      </c>
      <c r="C227" t="s">
        <v>13</v>
      </c>
      <c r="D227" t="s">
        <v>9</v>
      </c>
      <c r="E227" t="s">
        <v>10</v>
      </c>
      <c r="F227" s="7">
        <v>241.42</v>
      </c>
      <c r="G227" t="s">
        <v>14</v>
      </c>
      <c r="H227" t="str">
        <f t="shared" si="17"/>
        <v>Adult</v>
      </c>
      <c r="I227" t="str">
        <f t="shared" si="18"/>
        <v>Economy</v>
      </c>
      <c r="J227" t="str">
        <f t="shared" si="19"/>
        <v>Completed</v>
      </c>
      <c r="K227" s="10" t="str">
        <f t="shared" si="20"/>
        <v>MGQ-ADD</v>
      </c>
      <c r="L227" s="10" t="str">
        <f t="shared" si="21"/>
        <v>ABK00238</v>
      </c>
    </row>
    <row r="228" spans="1:12">
      <c r="A228" t="s">
        <v>294</v>
      </c>
      <c r="B228" s="5">
        <v>45716</v>
      </c>
      <c r="C228" t="s">
        <v>18</v>
      </c>
      <c r="D228" t="s">
        <v>9</v>
      </c>
      <c r="E228" t="s">
        <v>10</v>
      </c>
      <c r="F228" s="7">
        <v>260.14</v>
      </c>
      <c r="G228" t="s">
        <v>11</v>
      </c>
      <c r="H228" t="str">
        <f t="shared" si="17"/>
        <v>Adult</v>
      </c>
      <c r="I228" t="str">
        <f t="shared" si="18"/>
        <v>Economy</v>
      </c>
      <c r="J228" t="str">
        <f t="shared" si="19"/>
        <v>Confirmed</v>
      </c>
      <c r="K228" s="10" t="str">
        <f t="shared" si="20"/>
        <v>MGQ-NBO</v>
      </c>
      <c r="L228" s="10" t="str">
        <f t="shared" si="21"/>
        <v>ABK00239</v>
      </c>
    </row>
    <row r="229" spans="1:12">
      <c r="A229" t="s">
        <v>89</v>
      </c>
      <c r="B229" s="5">
        <v>45756</v>
      </c>
      <c r="C229" t="s">
        <v>18</v>
      </c>
      <c r="D229" t="s">
        <v>9</v>
      </c>
      <c r="E229" t="s">
        <v>84</v>
      </c>
      <c r="F229" s="7">
        <v>-7</v>
      </c>
      <c r="G229" t="s">
        <v>11</v>
      </c>
      <c r="H229" t="str">
        <f t="shared" si="17"/>
        <v>Adult</v>
      </c>
      <c r="I229" t="str">
        <f t="shared" si="18"/>
        <v>Unknown</v>
      </c>
      <c r="J229" t="str">
        <f t="shared" si="19"/>
        <v>Confirmed</v>
      </c>
      <c r="K229" s="10" t="str">
        <f t="shared" si="20"/>
        <v>MGQ-NBO</v>
      </c>
      <c r="L229" s="10" t="str">
        <f t="shared" si="21"/>
        <v>ABK00240</v>
      </c>
    </row>
    <row r="230" spans="1:12">
      <c r="A230" t="s">
        <v>206</v>
      </c>
      <c r="B230" s="5">
        <v>46180</v>
      </c>
      <c r="C230" t="s">
        <v>18</v>
      </c>
      <c r="D230" t="s">
        <v>9</v>
      </c>
      <c r="E230" t="s">
        <v>10</v>
      </c>
      <c r="F230" s="7">
        <v>199.01</v>
      </c>
      <c r="G230" t="s">
        <v>14</v>
      </c>
      <c r="H230" t="str">
        <f t="shared" si="17"/>
        <v>Adult</v>
      </c>
      <c r="I230" t="str">
        <f t="shared" si="18"/>
        <v>Economy</v>
      </c>
      <c r="J230" t="str">
        <f t="shared" si="19"/>
        <v>Completed</v>
      </c>
      <c r="K230" s="10" t="str">
        <f t="shared" si="20"/>
        <v>MGQ-NBO</v>
      </c>
      <c r="L230" s="10" t="str">
        <f t="shared" si="21"/>
        <v>ABK00241</v>
      </c>
    </row>
    <row r="231" spans="1:12">
      <c r="A231" t="s">
        <v>70</v>
      </c>
      <c r="B231" s="5">
        <v>45780</v>
      </c>
      <c r="C231" t="s">
        <v>8</v>
      </c>
      <c r="D231" t="s">
        <v>16</v>
      </c>
      <c r="E231" t="s">
        <v>10</v>
      </c>
      <c r="F231" s="7">
        <v>112.52</v>
      </c>
      <c r="G231" t="s">
        <v>71</v>
      </c>
      <c r="H231" t="str">
        <f t="shared" si="17"/>
        <v>Child</v>
      </c>
      <c r="I231" t="str">
        <f t="shared" si="18"/>
        <v>Economy</v>
      </c>
      <c r="J231" t="str">
        <f t="shared" si="19"/>
        <v>Completed</v>
      </c>
      <c r="K231" s="10" t="str">
        <f t="shared" si="20"/>
        <v>MGQ-HGA</v>
      </c>
      <c r="L231" s="10" t="str">
        <f t="shared" si="21"/>
        <v>ABK00242</v>
      </c>
    </row>
    <row r="232" spans="1:12">
      <c r="A232" t="s">
        <v>253</v>
      </c>
      <c r="B232" s="5">
        <v>45743</v>
      </c>
      <c r="C232" t="s">
        <v>18</v>
      </c>
      <c r="D232" t="s">
        <v>9</v>
      </c>
      <c r="E232" t="s">
        <v>10</v>
      </c>
      <c r="F232" s="7">
        <v>210.9</v>
      </c>
      <c r="G232" t="s">
        <v>11</v>
      </c>
      <c r="H232" t="str">
        <f t="shared" si="17"/>
        <v>Adult</v>
      </c>
      <c r="I232" t="str">
        <f t="shared" si="18"/>
        <v>Economy</v>
      </c>
      <c r="J232" t="str">
        <f t="shared" si="19"/>
        <v>Confirmed</v>
      </c>
      <c r="K232" s="10" t="str">
        <f t="shared" si="20"/>
        <v>MGQ-NBO</v>
      </c>
      <c r="L232" s="10" t="str">
        <f t="shared" si="21"/>
        <v>ABK00243</v>
      </c>
    </row>
    <row r="233" spans="1:12">
      <c r="A233" t="s">
        <v>223</v>
      </c>
      <c r="B233" s="5">
        <v>45931</v>
      </c>
      <c r="C233" t="s">
        <v>24</v>
      </c>
      <c r="D233" t="s">
        <v>9</v>
      </c>
      <c r="E233" t="s">
        <v>10</v>
      </c>
      <c r="F233" s="7">
        <v>82.61</v>
      </c>
      <c r="G233" t="s">
        <v>14</v>
      </c>
      <c r="H233" t="str">
        <f t="shared" si="17"/>
        <v>Adult</v>
      </c>
      <c r="I233" t="str">
        <f t="shared" si="18"/>
        <v>Economy</v>
      </c>
      <c r="J233" t="str">
        <f t="shared" si="19"/>
        <v>Completed</v>
      </c>
      <c r="K233" s="10" t="str">
        <f t="shared" si="20"/>
        <v>MGQ-KMU</v>
      </c>
      <c r="L233" s="10" t="str">
        <f t="shared" si="21"/>
        <v>ABK00244</v>
      </c>
    </row>
    <row r="234" spans="1:12">
      <c r="A234" t="s">
        <v>55</v>
      </c>
      <c r="B234" s="5">
        <v>45925</v>
      </c>
      <c r="C234" t="s">
        <v>24</v>
      </c>
      <c r="D234" t="s">
        <v>16</v>
      </c>
      <c r="E234" t="s">
        <v>33</v>
      </c>
      <c r="F234" s="7">
        <v>186.38</v>
      </c>
      <c r="G234" t="s">
        <v>46</v>
      </c>
      <c r="H234" t="str">
        <f t="shared" si="17"/>
        <v>Child</v>
      </c>
      <c r="I234" t="str">
        <f t="shared" si="18"/>
        <v>Business</v>
      </c>
      <c r="J234" t="str">
        <f t="shared" si="19"/>
        <v>Cancelled</v>
      </c>
      <c r="K234" s="10" t="str">
        <f t="shared" si="20"/>
        <v>MGQ-KMU</v>
      </c>
      <c r="L234" s="10" t="str">
        <f t="shared" si="21"/>
        <v>ABK00245</v>
      </c>
    </row>
    <row r="235" spans="1:12">
      <c r="A235" t="s">
        <v>67</v>
      </c>
      <c r="B235" s="5">
        <v>45925</v>
      </c>
      <c r="C235" t="s">
        <v>8</v>
      </c>
      <c r="D235" t="s">
        <v>9</v>
      </c>
      <c r="E235" t="s">
        <v>10</v>
      </c>
      <c r="F235" s="7">
        <v>88.64</v>
      </c>
      <c r="G235" t="s">
        <v>11</v>
      </c>
      <c r="H235" t="str">
        <f t="shared" si="17"/>
        <v>Adult</v>
      </c>
      <c r="I235" t="str">
        <f t="shared" si="18"/>
        <v>Economy</v>
      </c>
      <c r="J235" t="str">
        <f t="shared" si="19"/>
        <v>Confirmed</v>
      </c>
      <c r="K235" s="10" t="str">
        <f t="shared" si="20"/>
        <v>MGQ-HGA</v>
      </c>
      <c r="L235" s="10" t="str">
        <f t="shared" si="21"/>
        <v>ABK00246</v>
      </c>
    </row>
    <row r="236" spans="1:12">
      <c r="A236" t="s">
        <v>182</v>
      </c>
      <c r="B236" s="5">
        <v>45661</v>
      </c>
      <c r="C236" t="s">
        <v>8</v>
      </c>
      <c r="D236" t="s">
        <v>16</v>
      </c>
      <c r="E236" t="s">
        <v>33</v>
      </c>
      <c r="F236" s="7">
        <v>224.87</v>
      </c>
      <c r="G236" t="s">
        <v>46</v>
      </c>
      <c r="H236" t="str">
        <f t="shared" si="17"/>
        <v>Child</v>
      </c>
      <c r="I236" t="str">
        <f t="shared" si="18"/>
        <v>Business</v>
      </c>
      <c r="J236" t="str">
        <f t="shared" si="19"/>
        <v>Cancelled</v>
      </c>
      <c r="K236" s="10" t="str">
        <f t="shared" si="20"/>
        <v>MGQ-HGA</v>
      </c>
      <c r="L236" s="10" t="str">
        <f t="shared" si="21"/>
        <v>ABK00247</v>
      </c>
    </row>
    <row r="237" spans="1:12">
      <c r="A237" t="s">
        <v>21</v>
      </c>
      <c r="B237" s="5">
        <v>45792</v>
      </c>
      <c r="C237" t="s">
        <v>13</v>
      </c>
      <c r="D237" t="s">
        <v>22</v>
      </c>
      <c r="E237" t="s">
        <v>10</v>
      </c>
      <c r="F237" s="7">
        <v>214.42</v>
      </c>
      <c r="G237" t="s">
        <v>14</v>
      </c>
      <c r="H237" t="str">
        <f t="shared" si="17"/>
        <v>Senior</v>
      </c>
      <c r="I237" t="str">
        <f t="shared" si="18"/>
        <v>Economy</v>
      </c>
      <c r="J237" t="str">
        <f t="shared" si="19"/>
        <v>Completed</v>
      </c>
      <c r="K237" s="10" t="str">
        <f t="shared" si="20"/>
        <v>MGQ-ADD</v>
      </c>
      <c r="L237" s="10" t="str">
        <f t="shared" si="21"/>
        <v>ABK00248</v>
      </c>
    </row>
    <row r="238" spans="1:12">
      <c r="A238" t="s">
        <v>123</v>
      </c>
      <c r="B238" s="5">
        <v>45833</v>
      </c>
      <c r="C238" t="s">
        <v>8</v>
      </c>
      <c r="D238" t="s">
        <v>9</v>
      </c>
      <c r="E238" t="s">
        <v>10</v>
      </c>
      <c r="F238" s="7">
        <v>199.01</v>
      </c>
      <c r="G238" t="s">
        <v>14</v>
      </c>
      <c r="H238" t="str">
        <f t="shared" si="17"/>
        <v>Adult</v>
      </c>
      <c r="I238" t="str">
        <f t="shared" si="18"/>
        <v>Economy</v>
      </c>
      <c r="J238" t="str">
        <f t="shared" si="19"/>
        <v>Completed</v>
      </c>
      <c r="K238" s="10" t="str">
        <f t="shared" si="20"/>
        <v>MGQ-HGA</v>
      </c>
      <c r="L238" s="10" t="str">
        <f t="shared" si="21"/>
        <v>ABK00249</v>
      </c>
    </row>
    <row r="239" spans="1:12">
      <c r="A239" t="s">
        <v>275</v>
      </c>
      <c r="B239" s="5">
        <v>46226</v>
      </c>
      <c r="C239" t="s">
        <v>13</v>
      </c>
      <c r="D239" t="s">
        <v>9</v>
      </c>
      <c r="E239" t="s">
        <v>84</v>
      </c>
      <c r="F239" s="7">
        <v>205.7</v>
      </c>
      <c r="G239" t="s">
        <v>46</v>
      </c>
      <c r="H239" t="str">
        <f t="shared" si="17"/>
        <v>Adult</v>
      </c>
      <c r="I239" t="str">
        <f t="shared" si="18"/>
        <v>Unknown</v>
      </c>
      <c r="J239" t="str">
        <f t="shared" si="19"/>
        <v>Cancelled</v>
      </c>
      <c r="K239" s="10" t="str">
        <f t="shared" si="20"/>
        <v>MGQ-ADD</v>
      </c>
      <c r="L239" s="10" t="str">
        <f t="shared" si="21"/>
        <v>ABK00250</v>
      </c>
    </row>
    <row r="240" spans="1:12">
      <c r="A240" t="s">
        <v>136</v>
      </c>
      <c r="B240" s="5">
        <v>46189</v>
      </c>
      <c r="C240" t="s">
        <v>18</v>
      </c>
      <c r="D240" t="s">
        <v>9</v>
      </c>
      <c r="E240" t="s">
        <v>10</v>
      </c>
      <c r="F240" s="7">
        <v>230.22</v>
      </c>
      <c r="G240" t="s">
        <v>11</v>
      </c>
      <c r="H240" t="str">
        <f t="shared" si="17"/>
        <v>Adult</v>
      </c>
      <c r="I240" t="str">
        <f t="shared" si="18"/>
        <v>Economy</v>
      </c>
      <c r="J240" t="str">
        <f t="shared" si="19"/>
        <v>Confirmed</v>
      </c>
      <c r="K240" s="10" t="str">
        <f t="shared" si="20"/>
        <v>MGQ-NBO</v>
      </c>
      <c r="L240" s="10" t="str">
        <f t="shared" si="21"/>
        <v>ABK00251</v>
      </c>
    </row>
    <row r="241" spans="1:12">
      <c r="A241" t="s">
        <v>286</v>
      </c>
      <c r="B241" s="5">
        <v>45985</v>
      </c>
      <c r="C241" t="s">
        <v>13</v>
      </c>
      <c r="D241" t="s">
        <v>9</v>
      </c>
      <c r="E241" t="s">
        <v>10</v>
      </c>
      <c r="F241" s="7">
        <v>220.99</v>
      </c>
      <c r="G241" t="s">
        <v>11</v>
      </c>
      <c r="H241" t="str">
        <f t="shared" si="17"/>
        <v>Adult</v>
      </c>
      <c r="I241" t="str">
        <f t="shared" si="18"/>
        <v>Economy</v>
      </c>
      <c r="J241" t="str">
        <f t="shared" si="19"/>
        <v>Confirmed</v>
      </c>
      <c r="K241" s="10" t="str">
        <f t="shared" si="20"/>
        <v>MGQ-ADD</v>
      </c>
      <c r="L241" s="10" t="str">
        <f t="shared" si="21"/>
        <v>ABK00252</v>
      </c>
    </row>
    <row r="242" spans="1:12">
      <c r="A242" t="s">
        <v>271</v>
      </c>
      <c r="B242" s="5">
        <v>46195</v>
      </c>
      <c r="C242" t="s">
        <v>18</v>
      </c>
      <c r="D242" t="s">
        <v>9</v>
      </c>
      <c r="E242" t="s">
        <v>10</v>
      </c>
      <c r="F242" s="7">
        <v>196.83</v>
      </c>
      <c r="G242" t="s">
        <v>84</v>
      </c>
      <c r="H242" t="str">
        <f t="shared" si="17"/>
        <v>Adult</v>
      </c>
      <c r="I242" t="str">
        <f t="shared" si="18"/>
        <v>Economy</v>
      </c>
      <c r="J242" t="str">
        <f t="shared" si="19"/>
        <v>Unknown</v>
      </c>
      <c r="K242" s="10" t="str">
        <f t="shared" si="20"/>
        <v>MGQ-NBO</v>
      </c>
      <c r="L242" s="10" t="str">
        <f t="shared" si="21"/>
        <v>ABK00253</v>
      </c>
    </row>
    <row r="243" spans="1:12">
      <c r="A243" t="s">
        <v>26</v>
      </c>
      <c r="B243" s="5">
        <v>45782</v>
      </c>
      <c r="C243" t="s">
        <v>84</v>
      </c>
      <c r="D243" t="s">
        <v>9</v>
      </c>
      <c r="E243" t="s">
        <v>10</v>
      </c>
      <c r="F243" s="7">
        <v>78.260000000000005</v>
      </c>
      <c r="G243" t="s">
        <v>27</v>
      </c>
      <c r="H243" t="str">
        <f t="shared" si="17"/>
        <v>Adult</v>
      </c>
      <c r="I243" t="str">
        <f t="shared" si="18"/>
        <v>Economy</v>
      </c>
      <c r="J243" t="str">
        <f t="shared" si="19"/>
        <v>Cancelled</v>
      </c>
      <c r="K243" s="10" t="str">
        <f t="shared" si="20"/>
        <v>UNKNOWN</v>
      </c>
      <c r="L243" s="10" t="str">
        <f t="shared" si="21"/>
        <v>ABK00254</v>
      </c>
    </row>
    <row r="244" spans="1:12">
      <c r="A244" t="s">
        <v>128</v>
      </c>
      <c r="B244" s="5">
        <v>45661</v>
      </c>
      <c r="C244" t="s">
        <v>13</v>
      </c>
      <c r="D244" t="s">
        <v>9</v>
      </c>
      <c r="E244" t="s">
        <v>10</v>
      </c>
      <c r="F244" s="7">
        <v>289.69</v>
      </c>
      <c r="G244" t="s">
        <v>11</v>
      </c>
      <c r="H244" t="str">
        <f t="shared" si="17"/>
        <v>Adult</v>
      </c>
      <c r="I244" t="str">
        <f t="shared" si="18"/>
        <v>Economy</v>
      </c>
      <c r="J244" t="str">
        <f t="shared" si="19"/>
        <v>Confirmed</v>
      </c>
      <c r="K244" s="10" t="str">
        <f t="shared" si="20"/>
        <v>MGQ-ADD</v>
      </c>
      <c r="L244" s="10" t="str">
        <f t="shared" si="21"/>
        <v>ABK00255</v>
      </c>
    </row>
    <row r="245" spans="1:12">
      <c r="A245" t="s">
        <v>29</v>
      </c>
      <c r="B245" s="5">
        <v>45968</v>
      </c>
      <c r="C245" t="s">
        <v>18</v>
      </c>
      <c r="D245" t="s">
        <v>22</v>
      </c>
      <c r="E245" t="s">
        <v>10</v>
      </c>
      <c r="F245" s="7">
        <v>244.68</v>
      </c>
      <c r="G245" t="s">
        <v>11</v>
      </c>
      <c r="H245" t="str">
        <f t="shared" si="17"/>
        <v>Senior</v>
      </c>
      <c r="I245" t="str">
        <f t="shared" si="18"/>
        <v>Economy</v>
      </c>
      <c r="J245" t="str">
        <f t="shared" si="19"/>
        <v>Confirmed</v>
      </c>
      <c r="K245" s="10" t="str">
        <f t="shared" si="20"/>
        <v>MGQ-NBO</v>
      </c>
      <c r="L245" s="10" t="str">
        <f t="shared" si="21"/>
        <v>ABK00256</v>
      </c>
    </row>
    <row r="246" spans="1:12">
      <c r="A246" t="s">
        <v>43</v>
      </c>
      <c r="B246" s="5">
        <v>45733</v>
      </c>
      <c r="C246" t="s">
        <v>8</v>
      </c>
      <c r="D246" t="s">
        <v>9</v>
      </c>
      <c r="E246" t="s">
        <v>33</v>
      </c>
      <c r="F246" s="7">
        <v>198.57</v>
      </c>
      <c r="G246" t="s">
        <v>14</v>
      </c>
      <c r="H246" t="str">
        <f t="shared" si="17"/>
        <v>Adult</v>
      </c>
      <c r="I246" t="str">
        <f t="shared" si="18"/>
        <v>Business</v>
      </c>
      <c r="J246" t="str">
        <f t="shared" si="19"/>
        <v>Completed</v>
      </c>
      <c r="K246" s="10" t="str">
        <f t="shared" si="20"/>
        <v>MGQ-HGA</v>
      </c>
      <c r="L246" s="10" t="str">
        <f t="shared" si="21"/>
        <v>ABK00257</v>
      </c>
    </row>
    <row r="247" spans="1:12">
      <c r="A247" t="s">
        <v>83</v>
      </c>
      <c r="B247" s="5">
        <v>45661</v>
      </c>
      <c r="C247" t="s">
        <v>24</v>
      </c>
      <c r="D247" t="s">
        <v>16</v>
      </c>
      <c r="E247" t="s">
        <v>33</v>
      </c>
      <c r="F247" s="7">
        <v>199.01</v>
      </c>
      <c r="G247" t="s">
        <v>14</v>
      </c>
      <c r="H247" t="str">
        <f t="shared" si="17"/>
        <v>Child</v>
      </c>
      <c r="I247" t="str">
        <f t="shared" si="18"/>
        <v>Business</v>
      </c>
      <c r="J247" t="str">
        <f t="shared" si="19"/>
        <v>Completed</v>
      </c>
      <c r="K247" s="10" t="str">
        <f t="shared" si="20"/>
        <v>MGQ-KMU</v>
      </c>
      <c r="L247" s="10" t="str">
        <f t="shared" si="21"/>
        <v>ABK00258</v>
      </c>
    </row>
    <row r="248" spans="1:12">
      <c r="A248" t="s">
        <v>95</v>
      </c>
      <c r="B248" s="5">
        <v>46055</v>
      </c>
      <c r="C248" t="s">
        <v>32</v>
      </c>
      <c r="D248" t="s">
        <v>16</v>
      </c>
      <c r="E248" t="s">
        <v>10</v>
      </c>
      <c r="F248" s="7">
        <v>132.97</v>
      </c>
      <c r="G248" t="s">
        <v>14</v>
      </c>
      <c r="H248" t="str">
        <f t="shared" si="17"/>
        <v>Child</v>
      </c>
      <c r="I248" t="str">
        <f t="shared" si="18"/>
        <v>Economy</v>
      </c>
      <c r="J248" t="str">
        <f t="shared" si="19"/>
        <v>Completed</v>
      </c>
      <c r="K248" s="10" t="str">
        <f t="shared" si="20"/>
        <v>MGQ-BSA</v>
      </c>
      <c r="L248" s="10" t="str">
        <f t="shared" si="21"/>
        <v>ABK00259</v>
      </c>
    </row>
    <row r="249" spans="1:12">
      <c r="A249" t="s">
        <v>220</v>
      </c>
      <c r="B249" s="5">
        <v>45661</v>
      </c>
      <c r="C249" t="s">
        <v>13</v>
      </c>
      <c r="D249" t="s">
        <v>9</v>
      </c>
      <c r="E249" t="s">
        <v>10</v>
      </c>
      <c r="F249" s="7">
        <v>296.2</v>
      </c>
      <c r="G249" t="s">
        <v>46</v>
      </c>
      <c r="H249" t="str">
        <f t="shared" si="17"/>
        <v>Adult</v>
      </c>
      <c r="I249" t="str">
        <f t="shared" si="18"/>
        <v>Economy</v>
      </c>
      <c r="J249" t="str">
        <f t="shared" si="19"/>
        <v>Cancelled</v>
      </c>
      <c r="K249" s="10" t="str">
        <f t="shared" si="20"/>
        <v>MGQ-ADD</v>
      </c>
      <c r="L249" s="10" t="str">
        <f t="shared" si="21"/>
        <v>ABK00260</v>
      </c>
    </row>
    <row r="250" spans="1:12">
      <c r="A250" t="s">
        <v>205</v>
      </c>
      <c r="B250" s="5">
        <v>46043</v>
      </c>
      <c r="C250" t="s">
        <v>13</v>
      </c>
      <c r="D250" t="s">
        <v>9</v>
      </c>
      <c r="E250" t="s">
        <v>10</v>
      </c>
      <c r="F250" s="7">
        <v>263.25</v>
      </c>
      <c r="G250" t="s">
        <v>46</v>
      </c>
      <c r="H250" t="str">
        <f t="shared" si="17"/>
        <v>Adult</v>
      </c>
      <c r="I250" t="str">
        <f t="shared" si="18"/>
        <v>Economy</v>
      </c>
      <c r="J250" t="str">
        <f t="shared" si="19"/>
        <v>Cancelled</v>
      </c>
      <c r="K250" s="10" t="str">
        <f t="shared" si="20"/>
        <v>MGQ-ADD</v>
      </c>
      <c r="L250" s="10" t="str">
        <f t="shared" si="21"/>
        <v>ABK00261</v>
      </c>
    </row>
    <row r="251" spans="1:12">
      <c r="A251" t="s">
        <v>162</v>
      </c>
      <c r="B251" s="5">
        <v>46090</v>
      </c>
      <c r="C251" t="s">
        <v>84</v>
      </c>
      <c r="D251" t="s">
        <v>9</v>
      </c>
      <c r="E251" t="s">
        <v>10</v>
      </c>
      <c r="F251" s="7">
        <v>123.56</v>
      </c>
      <c r="G251" t="s">
        <v>14</v>
      </c>
      <c r="H251" t="str">
        <f t="shared" si="17"/>
        <v>Adult</v>
      </c>
      <c r="I251" t="str">
        <f t="shared" si="18"/>
        <v>Economy</v>
      </c>
      <c r="J251" t="str">
        <f t="shared" si="19"/>
        <v>Completed</v>
      </c>
      <c r="K251" s="10" t="str">
        <f t="shared" si="20"/>
        <v>UNKNOWN</v>
      </c>
      <c r="L251" s="10" t="str">
        <f t="shared" si="21"/>
        <v>ABK00262</v>
      </c>
    </row>
    <row r="252" spans="1:12">
      <c r="A252" t="s">
        <v>208</v>
      </c>
      <c r="B252" s="5">
        <v>46057</v>
      </c>
      <c r="C252" t="s">
        <v>18</v>
      </c>
      <c r="D252" t="s">
        <v>9</v>
      </c>
      <c r="E252" t="s">
        <v>10</v>
      </c>
      <c r="F252" s="7">
        <v>212.25</v>
      </c>
      <c r="G252" t="s">
        <v>14</v>
      </c>
      <c r="H252" t="str">
        <f t="shared" si="17"/>
        <v>Adult</v>
      </c>
      <c r="I252" t="str">
        <f t="shared" si="18"/>
        <v>Economy</v>
      </c>
      <c r="J252" t="str">
        <f t="shared" si="19"/>
        <v>Completed</v>
      </c>
      <c r="K252" s="10" t="str">
        <f t="shared" si="20"/>
        <v>MGQ-NBO</v>
      </c>
      <c r="L252" s="10" t="str">
        <f t="shared" si="21"/>
        <v>ABK00263</v>
      </c>
    </row>
    <row r="253" spans="1:12">
      <c r="A253" t="s">
        <v>56</v>
      </c>
      <c r="B253" s="5">
        <v>46095</v>
      </c>
      <c r="C253" t="s">
        <v>18</v>
      </c>
      <c r="D253" t="s">
        <v>9</v>
      </c>
      <c r="E253" t="s">
        <v>10</v>
      </c>
      <c r="F253" s="7">
        <v>261.37</v>
      </c>
      <c r="G253" t="s">
        <v>14</v>
      </c>
      <c r="H253" t="str">
        <f t="shared" si="17"/>
        <v>Adult</v>
      </c>
      <c r="I253" t="str">
        <f t="shared" si="18"/>
        <v>Economy</v>
      </c>
      <c r="J253" t="str">
        <f t="shared" si="19"/>
        <v>Completed</v>
      </c>
      <c r="K253" s="10" t="str">
        <f t="shared" si="20"/>
        <v>MGQ-NBO</v>
      </c>
      <c r="L253" s="10" t="str">
        <f t="shared" si="21"/>
        <v>ABK00264</v>
      </c>
    </row>
    <row r="254" spans="1:12">
      <c r="A254" t="s">
        <v>97</v>
      </c>
      <c r="B254" s="5">
        <v>46162</v>
      </c>
      <c r="C254" t="s">
        <v>8</v>
      </c>
      <c r="D254" t="s">
        <v>84</v>
      </c>
      <c r="E254" t="s">
        <v>10</v>
      </c>
      <c r="F254" s="7">
        <v>81.37</v>
      </c>
      <c r="G254" t="s">
        <v>14</v>
      </c>
      <c r="H254" t="str">
        <f t="shared" si="17"/>
        <v>Unknown</v>
      </c>
      <c r="I254" t="str">
        <f t="shared" si="18"/>
        <v>Economy</v>
      </c>
      <c r="J254" t="str">
        <f t="shared" si="19"/>
        <v>Completed</v>
      </c>
      <c r="K254" s="10" t="str">
        <f t="shared" si="20"/>
        <v>MGQ-HGA</v>
      </c>
      <c r="L254" s="10" t="str">
        <f t="shared" si="21"/>
        <v>ABK00265</v>
      </c>
    </row>
    <row r="255" spans="1:12">
      <c r="A255" t="s">
        <v>143</v>
      </c>
      <c r="B255" s="5">
        <v>46058</v>
      </c>
      <c r="C255" t="s">
        <v>18</v>
      </c>
      <c r="D255" t="s">
        <v>9</v>
      </c>
      <c r="E255" t="s">
        <v>10</v>
      </c>
      <c r="F255" s="7">
        <v>266.23</v>
      </c>
      <c r="G255" t="s">
        <v>14</v>
      </c>
      <c r="H255" t="str">
        <f t="shared" si="17"/>
        <v>Adult</v>
      </c>
      <c r="I255" t="str">
        <f t="shared" si="18"/>
        <v>Economy</v>
      </c>
      <c r="J255" t="str">
        <f t="shared" si="19"/>
        <v>Completed</v>
      </c>
      <c r="K255" s="10" t="str">
        <f t="shared" si="20"/>
        <v>MGQ-NBO</v>
      </c>
      <c r="L255" s="10" t="str">
        <f t="shared" si="21"/>
        <v>ABK00266</v>
      </c>
    </row>
    <row r="256" spans="1:12">
      <c r="A256" t="s">
        <v>300</v>
      </c>
      <c r="B256" s="5">
        <v>45661</v>
      </c>
      <c r="C256" t="s">
        <v>24</v>
      </c>
      <c r="D256" t="s">
        <v>9</v>
      </c>
      <c r="E256" t="s">
        <v>10</v>
      </c>
      <c r="F256" s="7">
        <v>81.53</v>
      </c>
      <c r="G256" t="s">
        <v>84</v>
      </c>
      <c r="H256" t="str">
        <f t="shared" si="17"/>
        <v>Adult</v>
      </c>
      <c r="I256" t="str">
        <f t="shared" si="18"/>
        <v>Economy</v>
      </c>
      <c r="J256" t="str">
        <f t="shared" si="19"/>
        <v>Unknown</v>
      </c>
      <c r="K256" s="10" t="str">
        <f t="shared" si="20"/>
        <v>MGQ-KMU</v>
      </c>
      <c r="L256" s="10" t="str">
        <f t="shared" si="21"/>
        <v>ABK00267</v>
      </c>
    </row>
    <row r="257" spans="1:12">
      <c r="A257" t="s">
        <v>102</v>
      </c>
      <c r="B257" s="5">
        <v>46051</v>
      </c>
      <c r="C257" t="s">
        <v>18</v>
      </c>
      <c r="D257" t="s">
        <v>9</v>
      </c>
      <c r="E257" t="s">
        <v>84</v>
      </c>
      <c r="F257" s="7">
        <v>201.58</v>
      </c>
      <c r="G257" t="s">
        <v>11</v>
      </c>
      <c r="H257" t="str">
        <f t="shared" si="17"/>
        <v>Adult</v>
      </c>
      <c r="I257" t="str">
        <f t="shared" si="18"/>
        <v>Unknown</v>
      </c>
      <c r="J257" t="str">
        <f t="shared" si="19"/>
        <v>Confirmed</v>
      </c>
      <c r="K257" s="10" t="str">
        <f t="shared" si="20"/>
        <v>MGQ-NBO</v>
      </c>
      <c r="L257" s="10" t="str">
        <f t="shared" si="21"/>
        <v>ABK00268</v>
      </c>
    </row>
    <row r="258" spans="1:12">
      <c r="A258" t="s">
        <v>268</v>
      </c>
      <c r="B258" s="5">
        <v>45792</v>
      </c>
      <c r="C258" t="s">
        <v>8</v>
      </c>
      <c r="D258" t="s">
        <v>9</v>
      </c>
      <c r="E258" t="s">
        <v>33</v>
      </c>
      <c r="F258" s="7">
        <v>185.23</v>
      </c>
      <c r="G258" t="s">
        <v>11</v>
      </c>
      <c r="H258" t="str">
        <f t="shared" ref="H258:H293" si="22">PROPER(D258)</f>
        <v>Adult</v>
      </c>
      <c r="I258" t="str">
        <f t="shared" ref="I258:I293" si="23">PROPER(E258)</f>
        <v>Business</v>
      </c>
      <c r="J258" t="str">
        <f t="shared" ref="J258:J293" si="24">PROPER(G258)</f>
        <v>Confirmed</v>
      </c>
      <c r="K258" s="10" t="str">
        <f t="shared" si="20"/>
        <v>MGQ-HGA</v>
      </c>
      <c r="L258" s="10" t="str">
        <f t="shared" si="21"/>
        <v>ABK00269</v>
      </c>
    </row>
    <row r="259" spans="1:12">
      <c r="A259" t="s">
        <v>137</v>
      </c>
      <c r="B259" s="5">
        <v>45924</v>
      </c>
      <c r="C259" t="s">
        <v>18</v>
      </c>
      <c r="D259" t="s">
        <v>9</v>
      </c>
      <c r="E259" t="s">
        <v>10</v>
      </c>
      <c r="F259" s="7">
        <v>190.36</v>
      </c>
      <c r="G259" t="s">
        <v>84</v>
      </c>
      <c r="H259" t="str">
        <f t="shared" si="22"/>
        <v>Adult</v>
      </c>
      <c r="I259" t="str">
        <f t="shared" si="23"/>
        <v>Economy</v>
      </c>
      <c r="J259" t="str">
        <f t="shared" si="24"/>
        <v>Unknown</v>
      </c>
      <c r="K259" s="10" t="str">
        <f t="shared" ref="K259:K293" si="25">UPPER(C259:C549)</f>
        <v>MGQ-NBO</v>
      </c>
      <c r="L259" s="10" t="str">
        <f t="shared" ref="L259:L293" si="26">TRIM(A259:A549)</f>
        <v>ABK00270</v>
      </c>
    </row>
    <row r="260" spans="1:12">
      <c r="A260" t="s">
        <v>264</v>
      </c>
      <c r="B260" s="5">
        <v>45919</v>
      </c>
      <c r="C260" t="s">
        <v>13</v>
      </c>
      <c r="D260" t="s">
        <v>9</v>
      </c>
      <c r="E260" t="s">
        <v>10</v>
      </c>
      <c r="F260" s="7">
        <v>294.14999999999998</v>
      </c>
      <c r="G260" t="s">
        <v>11</v>
      </c>
      <c r="H260" t="str">
        <f t="shared" si="22"/>
        <v>Adult</v>
      </c>
      <c r="I260" t="str">
        <f t="shared" si="23"/>
        <v>Economy</v>
      </c>
      <c r="J260" t="str">
        <f t="shared" si="24"/>
        <v>Confirmed</v>
      </c>
      <c r="K260" s="10" t="str">
        <f t="shared" si="25"/>
        <v>MGQ-ADD</v>
      </c>
      <c r="L260" s="10" t="str">
        <f t="shared" si="26"/>
        <v>ABK00271</v>
      </c>
    </row>
    <row r="261" spans="1:12">
      <c r="A261" t="s">
        <v>145</v>
      </c>
      <c r="B261" s="5">
        <v>45917</v>
      </c>
      <c r="C261" t="s">
        <v>8</v>
      </c>
      <c r="D261" t="s">
        <v>84</v>
      </c>
      <c r="E261" t="s">
        <v>10</v>
      </c>
      <c r="F261" s="7">
        <v>81.63</v>
      </c>
      <c r="G261" t="s">
        <v>14</v>
      </c>
      <c r="H261" t="str">
        <f t="shared" si="22"/>
        <v>Unknown</v>
      </c>
      <c r="I261" t="str">
        <f t="shared" si="23"/>
        <v>Economy</v>
      </c>
      <c r="J261" t="str">
        <f t="shared" si="24"/>
        <v>Completed</v>
      </c>
      <c r="K261" s="10" t="str">
        <f t="shared" si="25"/>
        <v>MGQ-HGA</v>
      </c>
      <c r="L261" s="10" t="str">
        <f t="shared" si="26"/>
        <v>ABK00272</v>
      </c>
    </row>
    <row r="262" spans="1:12">
      <c r="A262" t="s">
        <v>180</v>
      </c>
      <c r="B262" s="5">
        <v>46002</v>
      </c>
      <c r="C262" t="s">
        <v>13</v>
      </c>
      <c r="D262" t="s">
        <v>9</v>
      </c>
      <c r="E262" t="s">
        <v>10</v>
      </c>
      <c r="F262" s="7">
        <v>209.84</v>
      </c>
      <c r="G262" t="s">
        <v>14</v>
      </c>
      <c r="H262" t="str">
        <f t="shared" si="22"/>
        <v>Adult</v>
      </c>
      <c r="I262" t="str">
        <f t="shared" si="23"/>
        <v>Economy</v>
      </c>
      <c r="J262" t="str">
        <f t="shared" si="24"/>
        <v>Completed</v>
      </c>
      <c r="K262" s="10" t="str">
        <f t="shared" si="25"/>
        <v>MGQ-ADD</v>
      </c>
      <c r="L262" s="10" t="str">
        <f t="shared" si="26"/>
        <v>ABK00273</v>
      </c>
    </row>
    <row r="263" spans="1:12">
      <c r="A263" t="s">
        <v>130</v>
      </c>
      <c r="B263" s="5">
        <v>46217</v>
      </c>
      <c r="C263" t="s">
        <v>18</v>
      </c>
      <c r="D263" t="s">
        <v>16</v>
      </c>
      <c r="E263" t="s">
        <v>10</v>
      </c>
      <c r="F263" s="7">
        <v>250.25</v>
      </c>
      <c r="G263" t="s">
        <v>14</v>
      </c>
      <c r="H263" t="str">
        <f t="shared" si="22"/>
        <v>Child</v>
      </c>
      <c r="I263" t="str">
        <f t="shared" si="23"/>
        <v>Economy</v>
      </c>
      <c r="J263" t="str">
        <f t="shared" si="24"/>
        <v>Completed</v>
      </c>
      <c r="K263" s="10" t="str">
        <f t="shared" si="25"/>
        <v>MGQ-NBO</v>
      </c>
      <c r="L263" s="10" t="str">
        <f t="shared" si="26"/>
        <v>ABK00274</v>
      </c>
    </row>
    <row r="264" spans="1:12">
      <c r="A264" t="s">
        <v>167</v>
      </c>
      <c r="B264" s="5">
        <v>45857</v>
      </c>
      <c r="C264" t="s">
        <v>18</v>
      </c>
      <c r="D264" t="s">
        <v>9</v>
      </c>
      <c r="E264" t="s">
        <v>33</v>
      </c>
      <c r="F264" s="7">
        <v>427.93</v>
      </c>
      <c r="G264" t="s">
        <v>84</v>
      </c>
      <c r="H264" t="str">
        <f t="shared" si="22"/>
        <v>Adult</v>
      </c>
      <c r="I264" t="str">
        <f t="shared" si="23"/>
        <v>Business</v>
      </c>
      <c r="J264" t="str">
        <f t="shared" si="24"/>
        <v>Unknown</v>
      </c>
      <c r="K264" s="10" t="str">
        <f t="shared" si="25"/>
        <v>MGQ-NBO</v>
      </c>
      <c r="L264" s="10" t="str">
        <f t="shared" si="26"/>
        <v>ABK00275</v>
      </c>
    </row>
    <row r="265" spans="1:12">
      <c r="A265" t="s">
        <v>243</v>
      </c>
      <c r="B265" s="5">
        <v>45661</v>
      </c>
      <c r="C265" t="s">
        <v>13</v>
      </c>
      <c r="D265" t="s">
        <v>22</v>
      </c>
      <c r="E265" t="s">
        <v>10</v>
      </c>
      <c r="F265" s="7">
        <v>225.05</v>
      </c>
      <c r="G265" t="s">
        <v>11</v>
      </c>
      <c r="H265" t="str">
        <f t="shared" si="22"/>
        <v>Senior</v>
      </c>
      <c r="I265" t="str">
        <f t="shared" si="23"/>
        <v>Economy</v>
      </c>
      <c r="J265" t="str">
        <f t="shared" si="24"/>
        <v>Confirmed</v>
      </c>
      <c r="K265" s="10" t="str">
        <f t="shared" si="25"/>
        <v>MGQ-ADD</v>
      </c>
      <c r="L265" s="10" t="str">
        <f t="shared" si="26"/>
        <v>ABK00276</v>
      </c>
    </row>
    <row r="266" spans="1:12">
      <c r="A266" t="s">
        <v>187</v>
      </c>
      <c r="B266" s="5">
        <v>46184</v>
      </c>
      <c r="C266" t="s">
        <v>13</v>
      </c>
      <c r="D266" t="s">
        <v>9</v>
      </c>
      <c r="E266" t="s">
        <v>10</v>
      </c>
      <c r="F266" s="7">
        <v>224.79</v>
      </c>
      <c r="G266" t="s">
        <v>14</v>
      </c>
      <c r="H266" t="str">
        <f t="shared" si="22"/>
        <v>Adult</v>
      </c>
      <c r="I266" t="str">
        <f t="shared" si="23"/>
        <v>Economy</v>
      </c>
      <c r="J266" t="str">
        <f t="shared" si="24"/>
        <v>Completed</v>
      </c>
      <c r="K266" s="10" t="str">
        <f t="shared" si="25"/>
        <v>MGQ-ADD</v>
      </c>
      <c r="L266" s="10" t="str">
        <f t="shared" si="26"/>
        <v>ABK00277</v>
      </c>
    </row>
    <row r="267" spans="1:12">
      <c r="A267" t="s">
        <v>96</v>
      </c>
      <c r="B267" s="5">
        <v>45805</v>
      </c>
      <c r="C267" t="s">
        <v>24</v>
      </c>
      <c r="D267" t="s">
        <v>9</v>
      </c>
      <c r="E267" t="s">
        <v>10</v>
      </c>
      <c r="F267" s="7">
        <v>90.59</v>
      </c>
      <c r="G267" t="s">
        <v>11</v>
      </c>
      <c r="H267" t="str">
        <f t="shared" si="22"/>
        <v>Adult</v>
      </c>
      <c r="I267" t="str">
        <f t="shared" si="23"/>
        <v>Economy</v>
      </c>
      <c r="J267" t="str">
        <f t="shared" si="24"/>
        <v>Confirmed</v>
      </c>
      <c r="K267" s="10" t="str">
        <f t="shared" si="25"/>
        <v>MGQ-KMU</v>
      </c>
      <c r="L267" s="10" t="str">
        <f t="shared" si="26"/>
        <v>ABK00279</v>
      </c>
    </row>
    <row r="268" spans="1:12">
      <c r="A268" t="s">
        <v>81</v>
      </c>
      <c r="B268" s="5">
        <v>45661</v>
      </c>
      <c r="C268" t="s">
        <v>18</v>
      </c>
      <c r="D268" t="s">
        <v>9</v>
      </c>
      <c r="E268" t="s">
        <v>33</v>
      </c>
      <c r="F268" s="7">
        <v>424.29</v>
      </c>
      <c r="G268" t="s">
        <v>11</v>
      </c>
      <c r="H268" t="str">
        <f t="shared" si="22"/>
        <v>Adult</v>
      </c>
      <c r="I268" t="str">
        <f t="shared" si="23"/>
        <v>Business</v>
      </c>
      <c r="J268" t="str">
        <f t="shared" si="24"/>
        <v>Confirmed</v>
      </c>
      <c r="K268" s="10" t="str">
        <f t="shared" si="25"/>
        <v>MGQ-NBO</v>
      </c>
      <c r="L268" s="10" t="str">
        <f t="shared" si="26"/>
        <v>ABK00280</v>
      </c>
    </row>
    <row r="269" spans="1:12">
      <c r="A269" t="s">
        <v>230</v>
      </c>
      <c r="B269" s="5">
        <v>45981</v>
      </c>
      <c r="C269" t="s">
        <v>24</v>
      </c>
      <c r="D269" t="s">
        <v>16</v>
      </c>
      <c r="E269" t="s">
        <v>10</v>
      </c>
      <c r="F269" s="7">
        <v>78.36</v>
      </c>
      <c r="G269" t="s">
        <v>14</v>
      </c>
      <c r="H269" t="str">
        <f t="shared" si="22"/>
        <v>Child</v>
      </c>
      <c r="I269" t="str">
        <f t="shared" si="23"/>
        <v>Economy</v>
      </c>
      <c r="J269" t="str">
        <f t="shared" si="24"/>
        <v>Completed</v>
      </c>
      <c r="K269" s="10" t="str">
        <f t="shared" si="25"/>
        <v>MGQ-KMU</v>
      </c>
      <c r="L269" s="10" t="str">
        <f t="shared" si="26"/>
        <v>ABK00281</v>
      </c>
    </row>
    <row r="270" spans="1:12">
      <c r="A270" t="s">
        <v>270</v>
      </c>
      <c r="B270" s="5">
        <v>45808</v>
      </c>
      <c r="C270" t="s">
        <v>32</v>
      </c>
      <c r="D270" t="s">
        <v>9</v>
      </c>
      <c r="E270" t="s">
        <v>33</v>
      </c>
      <c r="F270" s="7">
        <v>219.89</v>
      </c>
      <c r="G270" t="s">
        <v>84</v>
      </c>
      <c r="H270" t="str">
        <f t="shared" si="22"/>
        <v>Adult</v>
      </c>
      <c r="I270" t="str">
        <f t="shared" si="23"/>
        <v>Business</v>
      </c>
      <c r="J270" t="str">
        <f t="shared" si="24"/>
        <v>Unknown</v>
      </c>
      <c r="K270" s="10" t="str">
        <f t="shared" si="25"/>
        <v>MGQ-BSA</v>
      </c>
      <c r="L270" s="10" t="str">
        <f t="shared" si="26"/>
        <v>ABK00284</v>
      </c>
    </row>
    <row r="271" spans="1:12">
      <c r="A271" t="s">
        <v>245</v>
      </c>
      <c r="B271" s="5">
        <v>45948</v>
      </c>
      <c r="C271" t="s">
        <v>84</v>
      </c>
      <c r="D271" t="s">
        <v>22</v>
      </c>
      <c r="E271" t="s">
        <v>10</v>
      </c>
      <c r="F271" s="7">
        <v>101.48</v>
      </c>
      <c r="G271" t="s">
        <v>11</v>
      </c>
      <c r="H271" t="str">
        <f t="shared" si="22"/>
        <v>Senior</v>
      </c>
      <c r="I271" t="str">
        <f t="shared" si="23"/>
        <v>Economy</v>
      </c>
      <c r="J271" t="str">
        <f t="shared" si="24"/>
        <v>Confirmed</v>
      </c>
      <c r="K271" s="10" t="str">
        <f t="shared" si="25"/>
        <v>UNKNOWN</v>
      </c>
      <c r="L271" s="10" t="str">
        <f t="shared" si="26"/>
        <v>ABK00285</v>
      </c>
    </row>
    <row r="272" spans="1:12">
      <c r="A272" t="s">
        <v>279</v>
      </c>
      <c r="B272" s="5">
        <v>45759</v>
      </c>
      <c r="C272" t="s">
        <v>13</v>
      </c>
      <c r="D272" t="s">
        <v>9</v>
      </c>
      <c r="E272" t="s">
        <v>10</v>
      </c>
      <c r="F272" s="7">
        <v>291.08</v>
      </c>
      <c r="G272" t="s">
        <v>14</v>
      </c>
      <c r="H272" t="str">
        <f t="shared" si="22"/>
        <v>Adult</v>
      </c>
      <c r="I272" t="str">
        <f t="shared" si="23"/>
        <v>Economy</v>
      </c>
      <c r="J272" t="str">
        <f t="shared" si="24"/>
        <v>Completed</v>
      </c>
      <c r="K272" s="10" t="str">
        <f t="shared" si="25"/>
        <v>MGQ-ADD</v>
      </c>
      <c r="L272" s="10" t="str">
        <f t="shared" si="26"/>
        <v>ABK00286</v>
      </c>
    </row>
    <row r="273" spans="1:12">
      <c r="A273" t="s">
        <v>177</v>
      </c>
      <c r="B273" s="5">
        <v>45991</v>
      </c>
      <c r="C273" t="s">
        <v>8</v>
      </c>
      <c r="D273" t="s">
        <v>84</v>
      </c>
      <c r="E273" t="s">
        <v>33</v>
      </c>
      <c r="F273" s="7">
        <v>208.46</v>
      </c>
      <c r="G273" t="s">
        <v>14</v>
      </c>
      <c r="H273" t="str">
        <f t="shared" si="22"/>
        <v>Unknown</v>
      </c>
      <c r="I273" t="str">
        <f t="shared" si="23"/>
        <v>Business</v>
      </c>
      <c r="J273" t="str">
        <f t="shared" si="24"/>
        <v>Completed</v>
      </c>
      <c r="K273" s="10" t="str">
        <f t="shared" si="25"/>
        <v>MGQ-HGA</v>
      </c>
      <c r="L273" s="10" t="str">
        <f t="shared" si="26"/>
        <v>ABK00287</v>
      </c>
    </row>
    <row r="274" spans="1:12">
      <c r="A274" t="s">
        <v>65</v>
      </c>
      <c r="B274" s="5">
        <v>46117</v>
      </c>
      <c r="C274" t="s">
        <v>18</v>
      </c>
      <c r="D274" t="s">
        <v>9</v>
      </c>
      <c r="E274" t="s">
        <v>10</v>
      </c>
      <c r="F274" s="7">
        <v>194.39</v>
      </c>
      <c r="G274" t="s">
        <v>14</v>
      </c>
      <c r="H274" t="str">
        <f t="shared" si="22"/>
        <v>Adult</v>
      </c>
      <c r="I274" t="str">
        <f t="shared" si="23"/>
        <v>Economy</v>
      </c>
      <c r="J274" t="str">
        <f t="shared" si="24"/>
        <v>Completed</v>
      </c>
      <c r="K274" s="10" t="str">
        <f t="shared" si="25"/>
        <v>MGQ-NBO</v>
      </c>
      <c r="L274" s="10" t="str">
        <f t="shared" si="26"/>
        <v>ABK00288</v>
      </c>
    </row>
    <row r="275" spans="1:12">
      <c r="A275" t="s">
        <v>53</v>
      </c>
      <c r="B275" s="5">
        <v>46067</v>
      </c>
      <c r="C275" t="s">
        <v>13</v>
      </c>
      <c r="D275" t="s">
        <v>9</v>
      </c>
      <c r="E275" t="s">
        <v>10</v>
      </c>
      <c r="F275" s="7">
        <v>297.72000000000003</v>
      </c>
      <c r="G275" t="s">
        <v>14</v>
      </c>
      <c r="H275" t="str">
        <f t="shared" si="22"/>
        <v>Adult</v>
      </c>
      <c r="I275" t="str">
        <f t="shared" si="23"/>
        <v>Economy</v>
      </c>
      <c r="J275" t="str">
        <f t="shared" si="24"/>
        <v>Completed</v>
      </c>
      <c r="K275" s="10" t="str">
        <f t="shared" si="25"/>
        <v>MGQ-ADD</v>
      </c>
      <c r="L275" s="10" t="str">
        <f t="shared" si="26"/>
        <v>ABK00289</v>
      </c>
    </row>
    <row r="276" spans="1:12">
      <c r="A276" t="s">
        <v>159</v>
      </c>
      <c r="B276" s="5">
        <v>46141</v>
      </c>
      <c r="C276" t="s">
        <v>13</v>
      </c>
      <c r="D276" t="s">
        <v>84</v>
      </c>
      <c r="E276" t="s">
        <v>33</v>
      </c>
      <c r="F276" s="7">
        <v>482.4</v>
      </c>
      <c r="G276" t="s">
        <v>11</v>
      </c>
      <c r="H276" t="str">
        <f t="shared" si="22"/>
        <v>Unknown</v>
      </c>
      <c r="I276" t="str">
        <f t="shared" si="23"/>
        <v>Business</v>
      </c>
      <c r="J276" t="str">
        <f t="shared" si="24"/>
        <v>Confirmed</v>
      </c>
      <c r="K276" s="10" t="str">
        <f t="shared" si="25"/>
        <v>MGQ-ADD</v>
      </c>
      <c r="L276" s="10" t="str">
        <f t="shared" si="26"/>
        <v>ABK00290</v>
      </c>
    </row>
    <row r="277" spans="1:12">
      <c r="A277" t="s">
        <v>201</v>
      </c>
      <c r="B277" s="5">
        <v>46221</v>
      </c>
      <c r="C277" t="s">
        <v>13</v>
      </c>
      <c r="D277" t="s">
        <v>9</v>
      </c>
      <c r="E277" t="s">
        <v>10</v>
      </c>
      <c r="F277" s="7">
        <v>236.07</v>
      </c>
      <c r="G277" t="s">
        <v>14</v>
      </c>
      <c r="H277" t="str">
        <f t="shared" si="22"/>
        <v>Adult</v>
      </c>
      <c r="I277" t="str">
        <f t="shared" si="23"/>
        <v>Economy</v>
      </c>
      <c r="J277" t="str">
        <f t="shared" si="24"/>
        <v>Completed</v>
      </c>
      <c r="K277" s="10" t="str">
        <f t="shared" si="25"/>
        <v>MGQ-ADD</v>
      </c>
      <c r="L277" s="10" t="str">
        <f t="shared" si="26"/>
        <v>ABK00291</v>
      </c>
    </row>
    <row r="278" spans="1:12">
      <c r="A278" t="s">
        <v>265</v>
      </c>
      <c r="B278" s="5">
        <v>45990</v>
      </c>
      <c r="C278" t="s">
        <v>32</v>
      </c>
      <c r="D278" t="s">
        <v>22</v>
      </c>
      <c r="E278" t="s">
        <v>10</v>
      </c>
      <c r="F278" s="7">
        <v>125.85</v>
      </c>
      <c r="G278" t="s">
        <v>11</v>
      </c>
      <c r="H278" t="str">
        <f t="shared" si="22"/>
        <v>Senior</v>
      </c>
      <c r="I278" t="str">
        <f t="shared" si="23"/>
        <v>Economy</v>
      </c>
      <c r="J278" t="str">
        <f t="shared" si="24"/>
        <v>Confirmed</v>
      </c>
      <c r="K278" s="10" t="str">
        <f t="shared" si="25"/>
        <v>MGQ-BSA</v>
      </c>
      <c r="L278" s="10" t="str">
        <f t="shared" si="26"/>
        <v>ABK00292</v>
      </c>
    </row>
    <row r="279" spans="1:12">
      <c r="A279" t="s">
        <v>84</v>
      </c>
      <c r="B279" s="5">
        <v>45806</v>
      </c>
      <c r="C279" t="s">
        <v>13</v>
      </c>
      <c r="D279" t="s">
        <v>9</v>
      </c>
      <c r="E279" t="s">
        <v>10</v>
      </c>
      <c r="F279" s="7">
        <v>205.57</v>
      </c>
      <c r="G279" t="s">
        <v>14</v>
      </c>
      <c r="H279" t="str">
        <f t="shared" si="22"/>
        <v>Adult</v>
      </c>
      <c r="I279" t="str">
        <f t="shared" si="23"/>
        <v>Economy</v>
      </c>
      <c r="J279" t="str">
        <f t="shared" si="24"/>
        <v>Completed</v>
      </c>
      <c r="K279" s="10" t="str">
        <f t="shared" si="25"/>
        <v>MGQ-ADD</v>
      </c>
      <c r="L279" s="10" t="str">
        <f t="shared" si="26"/>
        <v>Unknown</v>
      </c>
    </row>
    <row r="280" spans="1:12">
      <c r="A280" t="s">
        <v>84</v>
      </c>
      <c r="B280" s="5">
        <v>45993</v>
      </c>
      <c r="C280" t="s">
        <v>13</v>
      </c>
      <c r="D280" t="s">
        <v>16</v>
      </c>
      <c r="E280" t="s">
        <v>10</v>
      </c>
      <c r="F280" s="7">
        <v>228.46</v>
      </c>
      <c r="G280" t="s">
        <v>14</v>
      </c>
      <c r="H280" t="str">
        <f t="shared" si="22"/>
        <v>Child</v>
      </c>
      <c r="I280" t="str">
        <f t="shared" si="23"/>
        <v>Economy</v>
      </c>
      <c r="J280" t="str">
        <f t="shared" si="24"/>
        <v>Completed</v>
      </c>
      <c r="K280" s="10" t="str">
        <f t="shared" si="25"/>
        <v>MGQ-ADD</v>
      </c>
      <c r="L280" s="10" t="str">
        <f t="shared" si="26"/>
        <v>Unknown</v>
      </c>
    </row>
    <row r="281" spans="1:12">
      <c r="A281" t="s">
        <v>84</v>
      </c>
      <c r="B281" s="5">
        <v>46183</v>
      </c>
      <c r="C281" t="s">
        <v>13</v>
      </c>
      <c r="D281" t="s">
        <v>9</v>
      </c>
      <c r="E281" t="s">
        <v>10</v>
      </c>
      <c r="F281" s="7">
        <v>259.58999999999997</v>
      </c>
      <c r="G281" t="s">
        <v>14</v>
      </c>
      <c r="H281" t="str">
        <f t="shared" si="22"/>
        <v>Adult</v>
      </c>
      <c r="I281" t="str">
        <f t="shared" si="23"/>
        <v>Economy</v>
      </c>
      <c r="J281" t="str">
        <f t="shared" si="24"/>
        <v>Completed</v>
      </c>
      <c r="K281" s="10" t="str">
        <f t="shared" si="25"/>
        <v>MGQ-ADD</v>
      </c>
      <c r="L281" s="10" t="str">
        <f t="shared" si="26"/>
        <v>Unknown</v>
      </c>
    </row>
    <row r="282" spans="1:12">
      <c r="A282" t="s">
        <v>84</v>
      </c>
      <c r="B282" s="5">
        <v>46035</v>
      </c>
      <c r="C282" t="s">
        <v>13</v>
      </c>
      <c r="D282" t="s">
        <v>9</v>
      </c>
      <c r="E282" t="s">
        <v>10</v>
      </c>
      <c r="F282" s="7">
        <v>261.83999999999997</v>
      </c>
      <c r="G282" t="s">
        <v>14</v>
      </c>
      <c r="H282" t="str">
        <f t="shared" si="22"/>
        <v>Adult</v>
      </c>
      <c r="I282" t="str">
        <f t="shared" si="23"/>
        <v>Economy</v>
      </c>
      <c r="J282" t="str">
        <f t="shared" si="24"/>
        <v>Completed</v>
      </c>
      <c r="K282" s="10" t="str">
        <f t="shared" si="25"/>
        <v>MGQ-ADD</v>
      </c>
      <c r="L282" s="10" t="str">
        <f t="shared" si="26"/>
        <v>Unknown</v>
      </c>
    </row>
    <row r="283" spans="1:12">
      <c r="A283" t="s">
        <v>84</v>
      </c>
      <c r="B283" s="5">
        <v>46157</v>
      </c>
      <c r="C283" t="s">
        <v>32</v>
      </c>
      <c r="D283" t="s">
        <v>9</v>
      </c>
      <c r="E283" t="s">
        <v>10</v>
      </c>
      <c r="F283" s="7">
        <v>95.11</v>
      </c>
      <c r="G283" t="s">
        <v>14</v>
      </c>
      <c r="H283" t="str">
        <f t="shared" si="22"/>
        <v>Adult</v>
      </c>
      <c r="I283" t="str">
        <f t="shared" si="23"/>
        <v>Economy</v>
      </c>
      <c r="J283" t="str">
        <f t="shared" si="24"/>
        <v>Completed</v>
      </c>
      <c r="K283" s="10" t="str">
        <f t="shared" si="25"/>
        <v>MGQ-BSA</v>
      </c>
      <c r="L283" s="10" t="str">
        <f t="shared" si="26"/>
        <v>Unknown</v>
      </c>
    </row>
    <row r="284" spans="1:12">
      <c r="A284" t="s">
        <v>84</v>
      </c>
      <c r="B284" s="5">
        <v>45795</v>
      </c>
      <c r="C284" t="s">
        <v>32</v>
      </c>
      <c r="D284" t="s">
        <v>9</v>
      </c>
      <c r="E284" t="s">
        <v>10</v>
      </c>
      <c r="F284" s="7">
        <v>108.16</v>
      </c>
      <c r="G284" t="s">
        <v>14</v>
      </c>
      <c r="H284" t="str">
        <f t="shared" si="22"/>
        <v>Adult</v>
      </c>
      <c r="I284" t="str">
        <f t="shared" si="23"/>
        <v>Economy</v>
      </c>
      <c r="J284" t="str">
        <f t="shared" si="24"/>
        <v>Completed</v>
      </c>
      <c r="K284" s="10" t="str">
        <f t="shared" si="25"/>
        <v>MGQ-BSA</v>
      </c>
      <c r="L284" s="10" t="str">
        <f t="shared" si="26"/>
        <v>Unknown</v>
      </c>
    </row>
    <row r="285" spans="1:12">
      <c r="A285" t="s">
        <v>84</v>
      </c>
      <c r="B285" s="5">
        <v>45824</v>
      </c>
      <c r="C285" t="s">
        <v>32</v>
      </c>
      <c r="D285" t="s">
        <v>9</v>
      </c>
      <c r="E285" t="s">
        <v>10</v>
      </c>
      <c r="F285" s="7">
        <v>118.78</v>
      </c>
      <c r="G285" t="s">
        <v>14</v>
      </c>
      <c r="H285" t="str">
        <f t="shared" si="22"/>
        <v>Adult</v>
      </c>
      <c r="I285" t="str">
        <f t="shared" si="23"/>
        <v>Economy</v>
      </c>
      <c r="J285" t="str">
        <f t="shared" si="24"/>
        <v>Completed</v>
      </c>
      <c r="K285" s="10" t="str">
        <f t="shared" si="25"/>
        <v>MGQ-BSA</v>
      </c>
      <c r="L285" s="10" t="str">
        <f t="shared" si="26"/>
        <v>Unknown</v>
      </c>
    </row>
    <row r="286" spans="1:12">
      <c r="A286" t="s">
        <v>84</v>
      </c>
      <c r="B286" s="5">
        <v>45794</v>
      </c>
      <c r="C286" t="s">
        <v>8</v>
      </c>
      <c r="D286" t="s">
        <v>9</v>
      </c>
      <c r="E286" t="s">
        <v>10</v>
      </c>
      <c r="F286" s="7">
        <v>81.08</v>
      </c>
      <c r="G286" t="s">
        <v>14</v>
      </c>
      <c r="H286" t="str">
        <f t="shared" si="22"/>
        <v>Adult</v>
      </c>
      <c r="I286" t="str">
        <f t="shared" si="23"/>
        <v>Economy</v>
      </c>
      <c r="J286" t="str">
        <f t="shared" si="24"/>
        <v>Completed</v>
      </c>
      <c r="K286" s="10" t="str">
        <f t="shared" si="25"/>
        <v>MGQ-HGA</v>
      </c>
      <c r="L286" s="10" t="str">
        <f t="shared" si="26"/>
        <v>Unknown</v>
      </c>
    </row>
    <row r="287" spans="1:12">
      <c r="A287" t="s">
        <v>84</v>
      </c>
      <c r="B287" s="5">
        <v>45758</v>
      </c>
      <c r="C287" t="s">
        <v>8</v>
      </c>
      <c r="D287" t="s">
        <v>9</v>
      </c>
      <c r="E287" t="s">
        <v>10</v>
      </c>
      <c r="F287" s="7">
        <v>88.06</v>
      </c>
      <c r="G287" t="s">
        <v>14</v>
      </c>
      <c r="H287" t="str">
        <f t="shared" si="22"/>
        <v>Adult</v>
      </c>
      <c r="I287" t="str">
        <f t="shared" si="23"/>
        <v>Economy</v>
      </c>
      <c r="J287" t="str">
        <f t="shared" si="24"/>
        <v>Completed</v>
      </c>
      <c r="K287" s="10" t="str">
        <f t="shared" si="25"/>
        <v>MGQ-HGA</v>
      </c>
      <c r="L287" s="10" t="str">
        <f t="shared" si="26"/>
        <v>Unknown</v>
      </c>
    </row>
    <row r="288" spans="1:12">
      <c r="A288" t="s">
        <v>84</v>
      </c>
      <c r="B288" s="5">
        <v>45751</v>
      </c>
      <c r="C288" t="s">
        <v>24</v>
      </c>
      <c r="D288" t="s">
        <v>16</v>
      </c>
      <c r="E288" t="s">
        <v>10</v>
      </c>
      <c r="F288" s="7">
        <v>83.31</v>
      </c>
      <c r="G288" t="s">
        <v>11</v>
      </c>
      <c r="H288" t="str">
        <f t="shared" si="22"/>
        <v>Child</v>
      </c>
      <c r="I288" t="str">
        <f t="shared" si="23"/>
        <v>Economy</v>
      </c>
      <c r="J288" t="str">
        <f t="shared" si="24"/>
        <v>Confirmed</v>
      </c>
      <c r="K288" s="10" t="str">
        <f t="shared" si="25"/>
        <v>MGQ-KMU</v>
      </c>
      <c r="L288" s="10" t="str">
        <f t="shared" si="26"/>
        <v>Unknown</v>
      </c>
    </row>
    <row r="289" spans="1:12">
      <c r="A289" t="s">
        <v>84</v>
      </c>
      <c r="B289" s="5">
        <v>45796</v>
      </c>
      <c r="C289" t="s">
        <v>24</v>
      </c>
      <c r="D289" t="s">
        <v>9</v>
      </c>
      <c r="E289" t="s">
        <v>10</v>
      </c>
      <c r="F289" s="7">
        <v>87.98</v>
      </c>
      <c r="G289" t="s">
        <v>14</v>
      </c>
      <c r="H289" t="str">
        <f t="shared" si="22"/>
        <v>Adult</v>
      </c>
      <c r="I289" t="str">
        <f t="shared" si="23"/>
        <v>Economy</v>
      </c>
      <c r="J289" t="str">
        <f t="shared" si="24"/>
        <v>Completed</v>
      </c>
      <c r="K289" s="10" t="str">
        <f t="shared" si="25"/>
        <v>MGQ-KMU</v>
      </c>
      <c r="L289" s="10" t="str">
        <f t="shared" si="26"/>
        <v>Unknown</v>
      </c>
    </row>
    <row r="290" spans="1:12">
      <c r="A290" t="s">
        <v>84</v>
      </c>
      <c r="B290" s="5">
        <v>46192</v>
      </c>
      <c r="C290" t="s">
        <v>24</v>
      </c>
      <c r="D290" t="s">
        <v>9</v>
      </c>
      <c r="E290" t="s">
        <v>10</v>
      </c>
      <c r="F290" s="7">
        <v>111.96</v>
      </c>
      <c r="G290" t="s">
        <v>14</v>
      </c>
      <c r="H290" t="str">
        <f t="shared" si="22"/>
        <v>Adult</v>
      </c>
      <c r="I290" t="str">
        <f t="shared" si="23"/>
        <v>Economy</v>
      </c>
      <c r="J290" t="str">
        <f t="shared" si="24"/>
        <v>Completed</v>
      </c>
      <c r="K290" s="10" t="str">
        <f t="shared" si="25"/>
        <v>MGQ-KMU</v>
      </c>
      <c r="L290" s="10" t="str">
        <f t="shared" si="26"/>
        <v>Unknown</v>
      </c>
    </row>
    <row r="291" spans="1:12">
      <c r="A291" t="s">
        <v>84</v>
      </c>
      <c r="B291" s="5">
        <v>45903</v>
      </c>
      <c r="C291" t="s">
        <v>24</v>
      </c>
      <c r="D291" t="s">
        <v>9</v>
      </c>
      <c r="E291" t="s">
        <v>33</v>
      </c>
      <c r="F291" s="7">
        <v>192.08</v>
      </c>
      <c r="G291" t="s">
        <v>11</v>
      </c>
      <c r="H291" t="str">
        <f t="shared" si="22"/>
        <v>Adult</v>
      </c>
      <c r="I291" t="str">
        <f t="shared" si="23"/>
        <v>Business</v>
      </c>
      <c r="J291" t="str">
        <f t="shared" si="24"/>
        <v>Confirmed</v>
      </c>
      <c r="K291" s="10" t="str">
        <f t="shared" si="25"/>
        <v>MGQ-KMU</v>
      </c>
      <c r="L291" s="10" t="str">
        <f t="shared" si="26"/>
        <v>Unknown</v>
      </c>
    </row>
    <row r="292" spans="1:12">
      <c r="A292" t="s">
        <v>84</v>
      </c>
      <c r="B292" s="5">
        <v>46022</v>
      </c>
      <c r="C292" t="s">
        <v>18</v>
      </c>
      <c r="D292" t="s">
        <v>9</v>
      </c>
      <c r="E292" t="s">
        <v>10</v>
      </c>
      <c r="F292" s="7">
        <v>236.95</v>
      </c>
      <c r="G292" t="s">
        <v>14</v>
      </c>
      <c r="H292" t="str">
        <f t="shared" si="22"/>
        <v>Adult</v>
      </c>
      <c r="I292" t="str">
        <f t="shared" si="23"/>
        <v>Economy</v>
      </c>
      <c r="J292" t="str">
        <f t="shared" si="24"/>
        <v>Completed</v>
      </c>
      <c r="K292" s="10" t="str">
        <f t="shared" si="25"/>
        <v>MGQ-NBO</v>
      </c>
      <c r="L292" s="10" t="str">
        <f t="shared" si="26"/>
        <v>Unknown</v>
      </c>
    </row>
    <row r="293" spans="1:12">
      <c r="A293" t="s">
        <v>84</v>
      </c>
      <c r="B293" s="5">
        <v>46118</v>
      </c>
      <c r="C293" t="s">
        <v>18</v>
      </c>
      <c r="D293" t="s">
        <v>9</v>
      </c>
      <c r="E293" t="s">
        <v>10</v>
      </c>
      <c r="F293" s="7">
        <v>261.95999999999998</v>
      </c>
      <c r="G293" t="s">
        <v>14</v>
      </c>
      <c r="H293" t="str">
        <f t="shared" si="22"/>
        <v>Adult</v>
      </c>
      <c r="I293" t="str">
        <f t="shared" si="23"/>
        <v>Economy</v>
      </c>
      <c r="J293" t="str">
        <f t="shared" si="24"/>
        <v>Completed</v>
      </c>
      <c r="K293" s="10" t="str">
        <f t="shared" si="25"/>
        <v>MGQ-NBO</v>
      </c>
      <c r="L293" s="10" t="str">
        <f t="shared" si="26"/>
        <v>Unknown</v>
      </c>
    </row>
  </sheetData>
  <conditionalFormatting sqref="D10">
    <cfRule type="duplicateValues" dxfId="5" priority="5"/>
    <cfRule type="duplicateValues" dxfId="4" priority="6"/>
  </conditionalFormatting>
  <conditionalFormatting sqref="A2:G293">
    <cfRule type="duplicateValues" dxfId="3" priority="7"/>
  </conditionalFormatting>
  <conditionalFormatting sqref="F1:F1048576">
    <cfRule type="cellIs" dxfId="2" priority="3" operator="greaterThan">
      <formula>300</formula>
    </cfRule>
  </conditionalFormatting>
  <conditionalFormatting sqref="G1:G1048576">
    <cfRule type="containsText" dxfId="1" priority="1" operator="containsText" text="Cancelled">
      <formula>NOT(ISERROR(SEARCH("Cancelled",G1)))</formula>
    </cfRule>
    <cfRule type="containsText" dxfId="0" priority="2" operator="containsText" text="Cancelled">
      <formula>NOT(ISERROR(SEARCH("Cancelled",G1)))</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
  <sheetViews>
    <sheetView topLeftCell="A25" workbookViewId="0">
      <selection activeCell="I45" sqref="I45"/>
    </sheetView>
  </sheetViews>
  <sheetFormatPr defaultRowHeight="14.5"/>
  <cols>
    <col min="1" max="1" width="19.36328125" customWidth="1"/>
    <col min="2" max="2" width="22" customWidth="1"/>
    <col min="3" max="3" width="7.81640625" customWidth="1"/>
    <col min="4" max="4" width="8.90625" customWidth="1"/>
    <col min="5" max="5" width="10.7265625" customWidth="1"/>
    <col min="6" max="6" width="10.7265625" bestFit="1" customWidth="1"/>
  </cols>
  <sheetData>
    <row r="3" spans="1:2">
      <c r="A3" s="12" t="s">
        <v>318</v>
      </c>
      <c r="B3" t="s">
        <v>320</v>
      </c>
    </row>
    <row r="4" spans="1:2">
      <c r="A4" s="13" t="s">
        <v>13</v>
      </c>
      <c r="B4" s="10">
        <v>2084.58</v>
      </c>
    </row>
    <row r="5" spans="1:2">
      <c r="A5" s="13" t="s">
        <v>32</v>
      </c>
      <c r="B5" s="10">
        <v>1054.18</v>
      </c>
    </row>
    <row r="6" spans="1:2">
      <c r="A6" s="13" t="s">
        <v>8</v>
      </c>
      <c r="B6" s="10">
        <v>1996.92</v>
      </c>
    </row>
    <row r="7" spans="1:2">
      <c r="A7" s="13" t="s">
        <v>24</v>
      </c>
      <c r="B7" s="10">
        <v>767.98</v>
      </c>
    </row>
    <row r="8" spans="1:2">
      <c r="A8" s="13" t="s">
        <v>18</v>
      </c>
      <c r="B8" s="10">
        <v>7623.49</v>
      </c>
    </row>
    <row r="9" spans="1:2">
      <c r="A9" s="13" t="s">
        <v>357</v>
      </c>
      <c r="B9" s="10">
        <v>801.7299999999999</v>
      </c>
    </row>
    <row r="10" spans="1:2">
      <c r="A10" s="13" t="s">
        <v>319</v>
      </c>
      <c r="B10" s="10">
        <v>14328.88</v>
      </c>
    </row>
    <row r="14" spans="1:2">
      <c r="A14" s="12" t="s">
        <v>318</v>
      </c>
      <c r="B14" t="s">
        <v>329</v>
      </c>
    </row>
    <row r="15" spans="1:2">
      <c r="A15" s="13" t="s">
        <v>46</v>
      </c>
      <c r="B15" s="10">
        <v>8</v>
      </c>
    </row>
    <row r="16" spans="1:2">
      <c r="A16" s="13" t="s">
        <v>14</v>
      </c>
      <c r="B16" s="10">
        <v>20</v>
      </c>
    </row>
    <row r="17" spans="1:5">
      <c r="A17" s="13" t="s">
        <v>11</v>
      </c>
      <c r="B17" s="10">
        <v>13</v>
      </c>
    </row>
    <row r="18" spans="1:5">
      <c r="A18" s="13" t="s">
        <v>84</v>
      </c>
      <c r="B18" s="10">
        <v>4</v>
      </c>
    </row>
    <row r="19" spans="1:5">
      <c r="A19" s="13" t="s">
        <v>319</v>
      </c>
      <c r="B19" s="10">
        <v>45</v>
      </c>
    </row>
    <row r="23" spans="1:5">
      <c r="A23" s="12" t="s">
        <v>320</v>
      </c>
      <c r="B23" s="12" t="s">
        <v>321</v>
      </c>
    </row>
    <row r="24" spans="1:5">
      <c r="A24" s="12" t="s">
        <v>318</v>
      </c>
      <c r="B24" t="s">
        <v>9</v>
      </c>
      <c r="C24" t="s">
        <v>16</v>
      </c>
      <c r="D24" t="s">
        <v>84</v>
      </c>
      <c r="E24" t="s">
        <v>319</v>
      </c>
    </row>
    <row r="25" spans="1:5">
      <c r="A25" s="13" t="s">
        <v>33</v>
      </c>
      <c r="B25" s="10">
        <v>11551.900000000001</v>
      </c>
      <c r="C25" s="10">
        <v>1639.26</v>
      </c>
      <c r="D25" s="10">
        <v>1137.72</v>
      </c>
      <c r="E25" s="10">
        <v>14328.880000000001</v>
      </c>
    </row>
    <row r="26" spans="1:5">
      <c r="A26" s="13" t="s">
        <v>319</v>
      </c>
      <c r="B26" s="10">
        <v>11551.900000000001</v>
      </c>
      <c r="C26" s="10">
        <v>1639.26</v>
      </c>
      <c r="D26" s="10">
        <v>1137.72</v>
      </c>
      <c r="E26" s="10">
        <v>14328.880000000001</v>
      </c>
    </row>
    <row r="31" spans="1:5">
      <c r="A31" s="12" t="s">
        <v>308</v>
      </c>
      <c r="B31" t="s">
        <v>324</v>
      </c>
    </row>
    <row r="33" spans="1:3">
      <c r="A33" s="12" t="s">
        <v>318</v>
      </c>
      <c r="B33" t="s">
        <v>329</v>
      </c>
    </row>
    <row r="34" spans="1:3">
      <c r="A34" s="13" t="s">
        <v>322</v>
      </c>
      <c r="B34" s="10">
        <v>38</v>
      </c>
    </row>
    <row r="35" spans="1:3">
      <c r="A35" s="13" t="s">
        <v>323</v>
      </c>
      <c r="B35" s="10">
        <v>7</v>
      </c>
    </row>
    <row r="36" spans="1:3">
      <c r="A36" s="13" t="s">
        <v>319</v>
      </c>
      <c r="B36" s="10">
        <v>45</v>
      </c>
    </row>
    <row r="41" spans="1:3">
      <c r="A41" s="12" t="s">
        <v>320</v>
      </c>
      <c r="B41" s="12" t="s">
        <v>321</v>
      </c>
    </row>
    <row r="42" spans="1:3">
      <c r="A42" s="12" t="s">
        <v>318</v>
      </c>
      <c r="B42" t="s">
        <v>33</v>
      </c>
      <c r="C42" t="s">
        <v>319</v>
      </c>
    </row>
    <row r="43" spans="1:3">
      <c r="A43" s="13" t="s">
        <v>13</v>
      </c>
      <c r="B43" s="10">
        <v>2084.58</v>
      </c>
      <c r="C43" s="10">
        <v>2084.58</v>
      </c>
    </row>
    <row r="44" spans="1:3">
      <c r="A44" s="13" t="s">
        <v>32</v>
      </c>
      <c r="B44" s="10">
        <v>1054.18</v>
      </c>
      <c r="C44" s="10">
        <v>1054.18</v>
      </c>
    </row>
    <row r="45" spans="1:3">
      <c r="A45" s="13" t="s">
        <v>8</v>
      </c>
      <c r="B45" s="10">
        <v>1996.92</v>
      </c>
      <c r="C45" s="10">
        <v>1996.92</v>
      </c>
    </row>
    <row r="46" spans="1:3">
      <c r="A46" s="13" t="s">
        <v>24</v>
      </c>
      <c r="B46" s="10">
        <v>767.98</v>
      </c>
      <c r="C46" s="10">
        <v>767.98</v>
      </c>
    </row>
    <row r="47" spans="1:3">
      <c r="A47" s="13" t="s">
        <v>18</v>
      </c>
      <c r="B47" s="10">
        <v>7623.49</v>
      </c>
      <c r="C47" s="10">
        <v>7623.49</v>
      </c>
    </row>
    <row r="48" spans="1:3">
      <c r="A48" s="13" t="s">
        <v>357</v>
      </c>
      <c r="B48" s="10">
        <v>801.7299999999999</v>
      </c>
      <c r="C48" s="10">
        <v>801.7299999999999</v>
      </c>
    </row>
    <row r="49" spans="1:3">
      <c r="A49" s="13" t="s">
        <v>319</v>
      </c>
      <c r="B49" s="10">
        <v>14328.88</v>
      </c>
      <c r="C49" s="10">
        <v>14328.88</v>
      </c>
    </row>
    <row r="57" spans="1:3" ht="15.5">
      <c r="A57" s="14" t="s">
        <v>325</v>
      </c>
    </row>
    <row r="58" spans="1:3">
      <c r="A58" t="s">
        <v>326</v>
      </c>
      <c r="B58">
        <f>SUM(clean_data!F2:F293)</f>
        <v>58112.250000000051</v>
      </c>
    </row>
    <row r="59" spans="1:3">
      <c r="A59" t="s">
        <v>327</v>
      </c>
      <c r="B59">
        <f>COUNTA(clean_data!A2:A293)</f>
        <v>292</v>
      </c>
    </row>
    <row r="60" spans="1:3">
      <c r="A60" t="s">
        <v>328</v>
      </c>
      <c r="B60" s="17">
        <f>AVERAGE(clean_data!F2:F293)</f>
        <v>199.01455479452073</v>
      </c>
    </row>
    <row r="61" spans="1:3">
      <c r="A61" t="s">
        <v>341</v>
      </c>
      <c r="B61">
        <f>COUNTIF(clean_data!G2:G293, "Completed")</f>
        <v>159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30"/>
  <sheetViews>
    <sheetView topLeftCell="A13" workbookViewId="0">
      <selection activeCell="N17" sqref="N17"/>
    </sheetView>
  </sheetViews>
  <sheetFormatPr defaultRowHeight="14.5"/>
  <cols>
    <col min="1" max="1" width="28.26953125" customWidth="1"/>
    <col min="2" max="2" width="14.54296875" bestFit="1" customWidth="1"/>
  </cols>
  <sheetData>
    <row r="4" spans="1:2">
      <c r="A4" s="24" t="s">
        <v>311</v>
      </c>
      <c r="B4">
        <f>SUM(clean_data!F2:F293)</f>
        <v>58112.250000000051</v>
      </c>
    </row>
    <row r="5" spans="1:2">
      <c r="A5" s="24" t="s">
        <v>312</v>
      </c>
      <c r="B5">
        <f>AVERAGE(clean_data!F2:F293)</f>
        <v>199.01455479452073</v>
      </c>
    </row>
    <row r="6" spans="1:2">
      <c r="A6" s="24" t="s">
        <v>313</v>
      </c>
      <c r="B6">
        <f>COUNT(clean_data!F2:F293)</f>
        <v>292</v>
      </c>
    </row>
    <row r="7" spans="1:2">
      <c r="A7" s="24" t="s">
        <v>314</v>
      </c>
      <c r="B7">
        <f>MIN(clean_data!F2:F293)</f>
        <v>-7</v>
      </c>
    </row>
    <row r="8" spans="1:2">
      <c r="A8" s="24" t="s">
        <v>315</v>
      </c>
      <c r="B8">
        <f>MAX(clean_data!F2:F293)</f>
        <v>1018</v>
      </c>
    </row>
    <row r="9" spans="1:2">
      <c r="A9" s="24"/>
    </row>
    <row r="10" spans="1:2">
      <c r="A10" s="24" t="s">
        <v>316</v>
      </c>
      <c r="B10">
        <f>SUMIF(clean_data!G:G, "Confirmed", clean_data!F:F)</f>
        <v>17272.97</v>
      </c>
    </row>
    <row r="11" spans="1:2">
      <c r="A11" s="24" t="s">
        <v>317</v>
      </c>
      <c r="B11">
        <f>AVERAGEIF(clean_data!E:E, "Business", clean_data!F:F)</f>
        <v>318.41955555555558</v>
      </c>
    </row>
    <row r="15" spans="1:2">
      <c r="A15" s="11" t="s">
        <v>347</v>
      </c>
      <c r="B15">
        <v>199.01</v>
      </c>
    </row>
    <row r="17" spans="1:2">
      <c r="A17" t="s">
        <v>355</v>
      </c>
      <c r="B17">
        <v>115</v>
      </c>
    </row>
    <row r="18" spans="1:2">
      <c r="A18" s="25" t="s">
        <v>348</v>
      </c>
      <c r="B18">
        <v>20</v>
      </c>
    </row>
    <row r="19" spans="1:2">
      <c r="B19" s="5"/>
    </row>
    <row r="20" spans="1:2">
      <c r="A20" s="25" t="s">
        <v>349</v>
      </c>
      <c r="B20">
        <v>17</v>
      </c>
    </row>
    <row r="22" spans="1:2">
      <c r="A22" s="25" t="s">
        <v>353</v>
      </c>
      <c r="B22">
        <v>16</v>
      </c>
    </row>
    <row r="24" spans="1:2">
      <c r="A24" s="25" t="s">
        <v>352</v>
      </c>
      <c r="B24">
        <v>15</v>
      </c>
    </row>
    <row r="26" spans="1:2">
      <c r="A26" s="25" t="s">
        <v>351</v>
      </c>
      <c r="B26">
        <v>15</v>
      </c>
    </row>
    <row r="28" spans="1:2">
      <c r="A28" s="25" t="s">
        <v>350</v>
      </c>
      <c r="B28">
        <v>15</v>
      </c>
    </row>
    <row r="30" spans="1:2">
      <c r="A30" t="s">
        <v>354</v>
      </c>
      <c r="B30">
        <v>17</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5:P27"/>
  <sheetViews>
    <sheetView topLeftCell="A24" zoomScale="92" zoomScaleNormal="92" workbookViewId="0">
      <selection activeCell="V25" sqref="V25"/>
    </sheetView>
  </sheetViews>
  <sheetFormatPr defaultRowHeight="14.5"/>
  <cols>
    <col min="1" max="16384" width="8.7265625" style="15"/>
  </cols>
  <sheetData>
    <row r="5" spans="7:16" ht="18.5">
      <c r="G5" s="22" t="s">
        <v>342</v>
      </c>
      <c r="J5" s="22" t="s">
        <v>343</v>
      </c>
      <c r="M5" s="22" t="s">
        <v>344</v>
      </c>
      <c r="P5" s="22" t="s">
        <v>345</v>
      </c>
    </row>
    <row r="27" spans="7:7">
      <c r="G27" s="15" t="s">
        <v>356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O6"/>
  <sheetViews>
    <sheetView tabSelected="1" zoomScale="80" zoomScaleNormal="80" workbookViewId="0">
      <selection activeCell="W10" sqref="W10:X15"/>
    </sheetView>
  </sheetViews>
  <sheetFormatPr defaultRowHeight="14.5"/>
  <cols>
    <col min="1" max="16384" width="8.7265625" style="15"/>
  </cols>
  <sheetData>
    <row r="6" spans="3:15" ht="18.5">
      <c r="C6" s="22" t="s">
        <v>342</v>
      </c>
      <c r="H6" s="22" t="s">
        <v>343</v>
      </c>
      <c r="K6" s="15" t="s">
        <v>346</v>
      </c>
      <c r="O6" s="23" t="s">
        <v>345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selection activeCell="N15" sqref="N15"/>
    </sheetView>
  </sheetViews>
  <sheetFormatPr defaultRowHeight="14.5"/>
  <cols>
    <col min="1" max="1" width="32" customWidth="1"/>
    <col min="2" max="2" width="14" customWidth="1"/>
    <col min="3" max="3" width="15.6328125" customWidth="1"/>
  </cols>
  <sheetData>
    <row r="1" spans="1:12">
      <c r="A1" s="16"/>
      <c r="B1" s="16"/>
      <c r="C1" s="16" t="s">
        <v>330</v>
      </c>
      <c r="D1" s="16"/>
      <c r="E1" s="16"/>
      <c r="F1" s="16"/>
      <c r="G1" s="18"/>
      <c r="H1" s="16"/>
      <c r="I1" s="16"/>
      <c r="J1" s="16"/>
      <c r="K1" s="16"/>
      <c r="L1" s="16"/>
    </row>
    <row r="2" spans="1:12">
      <c r="A2" s="16"/>
      <c r="B2" s="16"/>
      <c r="C2" s="16"/>
      <c r="D2" s="16"/>
      <c r="E2" s="16"/>
      <c r="F2" s="16"/>
      <c r="G2" s="16"/>
      <c r="H2" s="16"/>
      <c r="I2" s="16"/>
      <c r="J2" s="16"/>
      <c r="K2" s="16"/>
      <c r="L2" s="16"/>
    </row>
    <row r="4" spans="1:12">
      <c r="A4" s="20" t="s">
        <v>331</v>
      </c>
      <c r="B4" s="19"/>
    </row>
    <row r="5" spans="1:12">
      <c r="A5" s="21" t="s">
        <v>332</v>
      </c>
    </row>
    <row r="6" spans="1:12">
      <c r="A6" t="s">
        <v>333</v>
      </c>
    </row>
    <row r="7" spans="1:12">
      <c r="A7" s="20" t="s">
        <v>334</v>
      </c>
    </row>
    <row r="8" spans="1:12">
      <c r="A8" t="s">
        <v>335</v>
      </c>
    </row>
    <row r="9" spans="1:12">
      <c r="A9" s="20" t="s">
        <v>336</v>
      </c>
    </row>
    <row r="12" spans="1:12">
      <c r="A12" s="20" t="s">
        <v>337</v>
      </c>
    </row>
    <row r="13" spans="1:12">
      <c r="A13" s="20" t="s">
        <v>338</v>
      </c>
    </row>
    <row r="14" spans="1:12">
      <c r="A14" s="20" t="s">
        <v>340</v>
      </c>
    </row>
    <row r="15" spans="1:12">
      <c r="A15" s="20"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Row data</vt:lpstr>
      <vt:lpstr>clean_data</vt:lpstr>
      <vt:lpstr>pivot tables</vt:lpstr>
      <vt:lpstr>analysis</vt:lpstr>
      <vt:lpstr>dashborad</vt:lpstr>
      <vt:lpstr>dashbord2</vt:lpstr>
      <vt:lpstr>finding anad recomandations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KCT</dc:creator>
  <cp:lastModifiedBy>KCT</cp:lastModifiedBy>
  <dcterms:created xsi:type="dcterms:W3CDTF">2026-08-15T15:09:19Z</dcterms:created>
  <dcterms:modified xsi:type="dcterms:W3CDTF">2026-08-25T11:36:47Z</dcterms:modified>
</cp:coreProperties>
</file>